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eduardosantos/Documents/Repos/mate_choice_meta/data/1_effect_size_calculation_pipeline/"/>
    </mc:Choice>
  </mc:AlternateContent>
  <xr:revisionPtr revIDLastSave="0" documentId="8_{4C5CA8C2-87E1-574E-B6E6-16D1C18444DD}" xr6:coauthVersionLast="47" xr6:coauthVersionMax="47" xr10:uidLastSave="{00000000-0000-0000-0000-000000000000}"/>
  <bookViews>
    <workbookView xWindow="0" yWindow="680" windowWidth="30240" windowHeight="18960" activeTab="1" xr2:uid="{00000000-000D-0000-FFFF-FFFF00000000}"/>
  </bookViews>
  <sheets>
    <sheet name="MetaData" sheetId="1" r:id="rId1"/>
    <sheet name="EduardoExtraction" sheetId="2" r:id="rId2"/>
    <sheet name="PivotTableExplore" sheetId="3" r:id="rId3"/>
    <sheet name="PivotSppStudies" sheetId="4" r:id="rId4"/>
    <sheet name="ExtractionComplexityNotebookLM" sheetId="5" r:id="rId5"/>
    <sheet name="LosiaExtraction" sheetId="6" r:id="rId6"/>
    <sheet name="AgenticDataExtraction" sheetId="7" r:id="rId7"/>
    <sheet name="AgenticDataExtraction2" sheetId="8" r:id="rId8"/>
    <sheet name="SpeciesExtractedNotebookLM" sheetId="9" r:id="rId9"/>
    <sheet name="LabIdentifierNotebookLM" sheetId="10" r:id="rId10"/>
    <sheet name="CoauthorNetworkTable" sheetId="11" r:id="rId11"/>
    <sheet name="MappingTrialLevelData" sheetId="12" r:id="rId12"/>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5" i="11" l="1"/>
  <c r="F144" i="11"/>
  <c r="F143" i="11"/>
  <c r="F142" i="11"/>
  <c r="F141" i="11"/>
  <c r="F140" i="11"/>
  <c r="F139" i="11"/>
  <c r="F138" i="11"/>
  <c r="F137" i="11"/>
  <c r="F136" i="11"/>
  <c r="F135" i="11"/>
  <c r="F134" i="11"/>
  <c r="F133" i="11"/>
  <c r="F132" i="11"/>
  <c r="F131" i="11"/>
  <c r="F130" i="11"/>
  <c r="F129" i="11"/>
  <c r="F128" i="11"/>
  <c r="F127" i="11"/>
  <c r="F126" i="11"/>
  <c r="F125" i="11"/>
  <c r="F124" i="11"/>
  <c r="F123" i="11"/>
  <c r="F122" i="11"/>
  <c r="F121" i="11"/>
  <c r="F120" i="11"/>
  <c r="F119" i="11"/>
  <c r="F118" i="11"/>
  <c r="F117" i="11"/>
  <c r="F116" i="11"/>
  <c r="F115" i="11"/>
  <c r="F114" i="11"/>
  <c r="F113" i="11"/>
  <c r="F112" i="11"/>
  <c r="F111" i="11"/>
  <c r="F110" i="11"/>
  <c r="F109" i="11"/>
  <c r="F108" i="11"/>
  <c r="F107" i="11"/>
  <c r="F106" i="11"/>
  <c r="F105" i="11"/>
  <c r="F104" i="11"/>
  <c r="F103" i="11"/>
  <c r="F102" i="11"/>
  <c r="F101" i="11"/>
  <c r="F100" i="11"/>
  <c r="F99" i="11"/>
  <c r="F98" i="11"/>
  <c r="F97" i="11"/>
  <c r="F96" i="11"/>
  <c r="F95" i="11"/>
  <c r="F94" i="11"/>
  <c r="F93" i="11"/>
  <c r="F92" i="11"/>
  <c r="F91" i="11"/>
  <c r="F90" i="11"/>
  <c r="F89" i="11"/>
  <c r="F88" i="11"/>
  <c r="F87" i="11"/>
  <c r="F86" i="11"/>
  <c r="F85" i="11"/>
  <c r="F84" i="11"/>
  <c r="F83" i="11"/>
  <c r="F82" i="11"/>
  <c r="F81" i="11"/>
  <c r="F80" i="11"/>
  <c r="F79" i="11"/>
  <c r="F78" i="11"/>
  <c r="F77" i="11"/>
  <c r="F76" i="11"/>
  <c r="F75" i="11"/>
  <c r="F74" i="11"/>
  <c r="F73" i="11"/>
  <c r="F72" i="11"/>
  <c r="F71" i="11"/>
  <c r="F70" i="11"/>
  <c r="F69" i="11"/>
  <c r="F68" i="11"/>
  <c r="F67" i="11"/>
  <c r="F66" i="11"/>
  <c r="F65" i="11"/>
  <c r="F64" i="11"/>
  <c r="F63" i="11"/>
  <c r="F62" i="11"/>
  <c r="F61" i="11"/>
  <c r="F60" i="11"/>
  <c r="F59" i="11"/>
  <c r="F58" i="11"/>
  <c r="F57" i="11"/>
  <c r="F56" i="11"/>
  <c r="F55" i="11"/>
  <c r="F54" i="11"/>
  <c r="F53" i="11"/>
  <c r="F52" i="11"/>
  <c r="F51" i="11"/>
  <c r="F50" i="11"/>
  <c r="F49" i="11"/>
  <c r="F48" i="11"/>
  <c r="F47" i="11"/>
  <c r="F46" i="11"/>
  <c r="F45" i="11"/>
  <c r="F44" i="11"/>
  <c r="F43" i="11"/>
  <c r="F42" i="11"/>
  <c r="F41" i="11"/>
  <c r="F40" i="11"/>
  <c r="F39" i="11"/>
  <c r="F38" i="11"/>
  <c r="F37" i="11"/>
  <c r="F36" i="11"/>
  <c r="F35" i="11"/>
  <c r="F34" i="11"/>
  <c r="F33" i="11"/>
  <c r="F32" i="11"/>
  <c r="F31" i="11"/>
  <c r="F30" i="11"/>
  <c r="F29" i="11"/>
  <c r="F28" i="11"/>
  <c r="F27" i="11"/>
  <c r="F26" i="11"/>
  <c r="F25" i="11"/>
  <c r="F24" i="11"/>
  <c r="F23" i="11"/>
  <c r="F22" i="11"/>
  <c r="F21" i="11"/>
  <c r="F20" i="11"/>
  <c r="F19" i="11"/>
  <c r="F18" i="11"/>
  <c r="F17" i="11"/>
  <c r="F16" i="11"/>
  <c r="F15" i="11"/>
  <c r="F14" i="11"/>
  <c r="F13" i="11"/>
  <c r="F12" i="11"/>
  <c r="F11" i="11"/>
  <c r="F10" i="11"/>
  <c r="F9" i="11"/>
  <c r="F8" i="11"/>
  <c r="F7" i="11"/>
  <c r="F6" i="11"/>
  <c r="F5" i="11"/>
  <c r="F4" i="11"/>
  <c r="F3" i="11"/>
  <c r="F2" i="11"/>
</calcChain>
</file>

<file path=xl/sharedStrings.xml><?xml version="1.0" encoding="utf-8"?>
<sst xmlns="http://schemas.openxmlformats.org/spreadsheetml/2006/main" count="5516" uniqueCount="1717">
  <si>
    <t>Variable</t>
  </si>
  <si>
    <t>Description</t>
  </si>
  <si>
    <t>Data type; options; examples of answers (separated by “/”)</t>
  </si>
  <si>
    <t>Was this variable also used by Jones and DuVal (2019)?</t>
  </si>
  <si>
    <t>Was this variable also used by Davies et al. (2020)?</t>
  </si>
  <si>
    <t>Original or amended?</t>
  </si>
  <si>
    <t>identifierExtractor</t>
  </si>
  <si>
    <t>Initials of the data extractor.</t>
  </si>
  <si>
    <t>Restricted values; ; ES/SN/LL</t>
  </si>
  <si>
    <t>No</t>
  </si>
  <si>
    <t>Original</t>
  </si>
  <si>
    <t>identifierEffectSizeID</t>
  </si>
  <si>
    <t>Effect size ID – A unique identifier for each control–experimental pair of measurements used to calculate an effect size (e.g., es0001).</t>
  </si>
  <si>
    <t>Free text; ; es0001/es0002</t>
  </si>
  <si>
    <t>Amended</t>
  </si>
  <si>
    <t>identifierStudyId</t>
  </si>
  <si>
    <t>The combination of the first author, the published year, and the published journal of the eligible study.</t>
  </si>
  <si>
    <t>Free text; ; Santos_2006_TheJournal</t>
  </si>
  <si>
    <t>Yes</t>
  </si>
  <si>
    <t>identifierStudyYear</t>
  </si>
  <si>
    <t>Year of publication of the eligible study. Use the online publication year. If the online and print publication years differ, we will use the online publication year.</t>
  </si>
  <si>
    <t>Numeric (four digits); ; 2006</t>
  </si>
  <si>
    <t>identifierStudyDoi</t>
  </si>
  <si>
    <t>Digital object identifier (DOI) of the eligible study.</t>
  </si>
  <si>
    <t>Free text; ; 10.1098/rspb.2022.2492</t>
  </si>
  <si>
    <t>taxonomySpecies</t>
  </si>
  <si>
    <t>Species (binomial nomenclature)</t>
  </si>
  <si>
    <t>Free text; ; Pan paniscus</t>
  </si>
  <si>
    <t>experimentalSpeciesOrigin</t>
  </si>
  <si>
    <t>Whether the study was conducted in the wild or in captivity. Studies in captivity maintain animals within facilities, whereas those in the wild use free-ranging animals that are not attended to.</t>
  </si>
  <si>
    <t>Restricted values; ; Captivity/Wild</t>
  </si>
  <si>
    <t>identifierExperimentId</t>
  </si>
  <si>
    <t>Unique identifier for specific experiments within a paper. Experiment IDs start with 1 within each study ID and are sequential.</t>
  </si>
  <si>
    <t>Restricted values; ; Exp001/Exp002/Exp003</t>
  </si>
  <si>
    <t>experimentalDesignType</t>
  </si>
  <si>
    <t>Experimental design type can be no pre-test, or before-and-after</t>
  </si>
  <si>
    <t>Restricted values; ; No pre-test/Before-and-after</t>
  </si>
  <si>
    <t>experimentalModelPairing</t>
  </si>
  <si>
    <t>How model individuals were assigned during the test. Manipulated pairing means that experimenters placed the demonstrator. Natural pairing means demonstrators were allowed to choose their partners.</t>
  </si>
  <si>
    <t>Restricted; ; Manipulated/Natural</t>
  </si>
  <si>
    <t>experimentalTypeCopyingMechanism</t>
  </si>
  <si>
    <t>Whether the observer was tested for Generalized Copying or Individual Copying. Generalized trials present observers with different target individuals that maintain a certain trait. Individual trials present observers with the same target individuals, just changing the audience effect.</t>
  </si>
  <si>
    <t>Restricted; Generalized/Individual</t>
  </si>
  <si>
    <t>experimentalTypeStimulus</t>
  </si>
  <si>
    <t>What type of audience/social context was presented to the observer individual</t>
  </si>
  <si>
    <t>Free text; ; Mating/Presence/Odor</t>
  </si>
  <si>
    <t>experimentalTypeChoiceTest</t>
  </si>
  <si>
    <t>Description of the choice variable.</t>
  </si>
  <si>
    <t>Free text; ; Actual mating/Association time/Touch</t>
  </si>
  <si>
    <t>experimentalTypeTestDescription</t>
  </si>
  <si>
    <t>Describe the type of mate-choice trial used by the author</t>
  </si>
  <si>
    <t>Free text; ; “To test whether the presence of a female near a male influences the mate choice decision of another female, we gave 53 focal females a choice between two identical robotic crabs, one of which had a female tethered 5 cm away (to simulate a female visiting a male).”</t>
  </si>
  <si>
    <t>experimentalTypeSex</t>
  </si>
  <si>
    <t>What was the sex of the observer/focal individual?</t>
  </si>
  <si>
    <t>Restricted values; ; Female/Male</t>
  </si>
  <si>
    <t>experimentalTypeVirgin</t>
  </si>
  <si>
    <t>Is the focal/observer individual a virgin?</t>
  </si>
  <si>
    <t>Restricted values; ; Yes/No</t>
  </si>
  <si>
    <t>experimentalModelAge</t>
  </si>
  <si>
    <t>Age of the model/demonstrator individual relative to the observer/focal.</t>
  </si>
  <si>
    <t>Restricted values; ; Older/Same-age/Younger</t>
  </si>
  <si>
    <t>effectSizeSourceDetails</t>
  </si>
  <si>
    <t>Details of the source from which the effect size was extracted</t>
  </si>
  <si>
    <t>Free text; ; Figure 3a/Third paragraph in the 2nd page/Appendix 2</t>
  </si>
  <si>
    <t>effectSizeSourceType</t>
  </si>
  <si>
    <t>Source from where the effect size was extracted</t>
  </si>
  <si>
    <t>Restricted values; ; Figure content/Figure legend/In-text/Table/Supplementary material</t>
  </si>
  <si>
    <t>effectSizeEstimateType</t>
  </si>
  <si>
    <t>Brief description of the estimate extracted. Prioritize data if presented as a sample size for each group of observer/focal individuals.</t>
  </si>
  <si>
    <t>Free text; ; Count data/Correlation coefficient/t-value/p-value/Other</t>
  </si>
  <si>
    <t>effectSizeEstimateValue</t>
  </si>
  <si>
    <t>Value of the estimate extracted</t>
  </si>
  <si>
    <t>Numeric; ; 0.5/200/1000</t>
  </si>
  <si>
    <t>effectSizeEstimateExtra</t>
  </si>
  <si>
    <t>Extra information about the estimate extracted, such as degrees of freedom or p-values</t>
  </si>
  <si>
    <t>Free text; ; df = 40, p-value = 0.049</t>
  </si>
  <si>
    <t>effectSizeEstimateNotes</t>
  </si>
  <si>
    <t>Full description of the estimate extracted</t>
  </si>
  <si>
    <t>Free text; ; Correlation coefficient is actually from a partial regression analysis</t>
  </si>
  <si>
    <t>effectSizeSampleSizeA</t>
  </si>
  <si>
    <t>The number of observers choosing the individual associated with social information.</t>
  </si>
  <si>
    <t>effectSizeSampleSizeB</t>
  </si>
  <si>
    <t>The number of observers choosing the individual NOT associated with social information.</t>
  </si>
  <si>
    <t>effectSizeSampleSizeC</t>
  </si>
  <si>
    <t>The number of control individuals (i.e., individuals that did not witness the model’s choice) that made the same choice as the model.</t>
  </si>
  <si>
    <t>effectSizeSampleSizeD</t>
  </si>
  <si>
    <t>The number of controls that did not choose the same as the model.</t>
  </si>
  <si>
    <t>effectSizesampleSize</t>
  </si>
  <si>
    <t>Sample size as the number of individuals. This is the total sample size grouping all focal/observer individuals used in the trial.</t>
  </si>
  <si>
    <t>Numeric; ; 15/42/73</t>
  </si>
  <si>
    <t>descritionStudyComplexity</t>
  </si>
  <si>
    <t>Level of the complexity of the study design and analytical methods - to be used as a proxy of effort/expertise needed to extract the data.</t>
  </si>
  <si>
    <t>Restricted values; ; Easy/Moderate/Hard</t>
  </si>
  <si>
    <t>descriptionGeneralNote</t>
  </si>
  <si>
    <t>Relevant notes on the extraction.</t>
  </si>
  <si>
    <t>Free text; ; I don't know if this metric can be used to calculate an effect size.</t>
  </si>
  <si>
    <t>effectSizeDirection</t>
  </si>
  <si>
    <t>Direction of the effect, as reported or inferred from the study. Indicates whether the result is consistent with mate-choice copying, opposite to copying, or inconclusive.</t>
  </si>
  <si>
    <t>Free text; ; MCC/Little evidence of MCC/Significant mate-choice copying</t>
  </si>
  <si>
    <t>controlMean</t>
  </si>
  <si>
    <t>Mean value of the outcome variable in the control condition (e.g., Phase 1 baseline, no-model group, or non-copying condition).</t>
  </si>
  <si>
    <t>Numeric; ; 0.25/134.75/313</t>
  </si>
  <si>
    <t>controlSD</t>
  </si>
  <si>
    <t>Standard deviation of the outcome variable in the control condition. Derived from SE×√n if not reported directly.</t>
  </si>
  <si>
    <t>Numeric; ; 0.13/112.9/104.1</t>
  </si>
  <si>
    <t>controlSE</t>
  </si>
  <si>
    <t>Standard error of the mean for the outcome variable in the control condition.</t>
  </si>
  <si>
    <t>Numeric; ; 0.03/26.6/19</t>
  </si>
  <si>
    <t>controlN</t>
  </si>
  <si>
    <t>Sample size (number of individuals) in the control condition.</t>
  </si>
  <si>
    <t>Numeric; ; 17/19/30</t>
  </si>
  <si>
    <t>treatmentMean</t>
  </si>
  <si>
    <t>Mean value of the outcome variable in the treatment condition (e.g., Phase 2 post-observation, model group, or copying condition).</t>
  </si>
  <si>
    <t>Numeric; ; 0.27/427.17/224</t>
  </si>
  <si>
    <t>treatmentSD</t>
  </si>
  <si>
    <t>Standard deviation of the outcome variable in the treatment condition. Derived from SE×√n if not reported directly.</t>
  </si>
  <si>
    <t>Numeric; ; 0.24/112.9/99.9</t>
  </si>
  <si>
    <t>treatmentSE</t>
  </si>
  <si>
    <t>Standard error of the mean for the outcome variable in the treatment condition.</t>
  </si>
  <si>
    <t>Numeric; ; 0.05/26.6/16</t>
  </si>
  <si>
    <t>treatmentN</t>
  </si>
  <si>
    <t>Sample size (number of individuals) in the treatment condition.</t>
  </si>
  <si>
    <t>Numeric; ; 18/23/39</t>
  </si>
  <si>
    <t>effectSizeDataTypeForCalculation</t>
  </si>
  <si>
    <t>Classifies the raw data type used to calculate the effect size (continuous or binary/count). Determines whether Hedges' D or Odds Ratio is the appropriate effect size metric.</t>
  </si>
  <si>
    <t>Restricted values; ; Continuous/Binary</t>
  </si>
  <si>
    <t>effectSizeCalculatedHedgesD</t>
  </si>
  <si>
    <t>Calculated Hedges' D (bias-corrected standardised mean difference, g) effect size estimate for continuous outcome data.</t>
  </si>
  <si>
    <t>Numeric; ; 0.79/−0.87/2.10</t>
  </si>
  <si>
    <t>effectSizeCalculatedHedgesDVariance</t>
  </si>
  <si>
    <t>Variance of the calculated Hedges' D effect size, used as the sampling variance in meta-analytic models.</t>
  </si>
  <si>
    <t>Numeric; ; 0.104/0.064/0.167</t>
  </si>
  <si>
    <t>effectSizeHedgesDHowCalculated</t>
  </si>
  <si>
    <t>Description of how the Hedges' D effect size was calculated, including the formula used, data sources, and any assumptions made.</t>
  </si>
  <si>
    <t>Free text; ; g from 2-sample t (t=6.123, n=18/phase, df=34); Phase1 sm male=196.78s (Fig3); SP from t; g=d×J</t>
  </si>
  <si>
    <t>effectSizeCalculatedOddsRatio</t>
  </si>
  <si>
    <t>Calculated Odds Ratio effect size estimate for binary/count outcome data.</t>
  </si>
  <si>
    <t>Numeric; ; 1.5/3.2/0.8</t>
  </si>
  <si>
    <t>effectSizeCalculatedOddsRatioVariance</t>
  </si>
  <si>
    <t>Variance of the log Odds Ratio, used as the sampling variance in meta-analytic models.</t>
  </si>
  <si>
    <t>Numeric; ; 0.25/0.41/0.12</t>
  </si>
  <si>
    <t>effectSizeOddsRatioHowCalculated</t>
  </si>
  <si>
    <t>Description of how the Odds Ratio was calculated, including the 2×2 table cells used (A, B, C, D) and any corrections applied (e.g., 50/50 rule for missing control counts).</t>
  </si>
  <si>
    <t>Free text; ; OR=(A×D)/(B×C); A=exp chose copied male, B=exp chose other, C=ctrl chose same, D=ctrl chose other</t>
  </si>
  <si>
    <t>InformationCheckedColumnsFilled</t>
  </si>
  <si>
    <t>Flag indicating whether the extraction row has been reviewed and all applicable columns have been filled in.</t>
  </si>
  <si>
    <t>Restricted values; ; Yes/No/Partial</t>
  </si>
  <si>
    <t>RemoveFromDataset</t>
  </si>
  <si>
    <t>Flag indicating whether this row should be excluded from the final meta-analytic dataset, with a brief reason if applicable.</t>
  </si>
  <si>
    <t>Free text; ; Yes – duplicate/No/Yes – pilot data</t>
  </si>
  <si>
    <t>ES</t>
  </si>
  <si>
    <t>es0001</t>
  </si>
  <si>
    <t>Araújo_2024_RoyalSocietyOpenScience</t>
  </si>
  <si>
    <t>10.1098/rsos.240408</t>
  </si>
  <si>
    <t>Captivity</t>
  </si>
  <si>
    <t>Exp001</t>
  </si>
  <si>
    <t>No pre-test</t>
  </si>
  <si>
    <t>Natural</t>
  </si>
  <si>
    <t>Generalized</t>
  </si>
  <si>
    <t>Copulation</t>
  </si>
  <si>
    <t>Mating</t>
  </si>
  <si>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</si>
  <si>
    <t>Female</t>
  </si>
  <si>
    <t>Same-age</t>
  </si>
  <si>
    <t>In-text and figure</t>
  </si>
  <si>
    <t>Page 4, 1st paragraph of Result section. The proportion was extracted from Fig 3</t>
  </si>
  <si>
    <t>binomial test inferential statistics</t>
  </si>
  <si>
    <t>n = 64, p = 0.06</t>
  </si>
  <si>
    <t>These are calculated by multiplying the proportion by the sample size and rounding to the nearest integer. Observer females chose more the male associated with the demonstrator.</t>
  </si>
  <si>
    <t>Little evidence of mate-choice copying</t>
  </si>
  <si>
    <t>Easy</t>
  </si>
  <si>
    <t>Count data</t>
  </si>
  <si>
    <t>Data from experiment Main Treatment 1. Note that data comes from both text and Figure 3. Females copy the behavior of the model females from first trial, and not the most recent one.</t>
  </si>
  <si>
    <t>[converted from OR] d=ln(OR)×√3/π×J; OR=0.6, Var(logOR)=0.1067, n=64, J=0.988</t>
  </si>
  <si>
    <t>OR=(A×D)/(B×C); Var(logOR)=1/A+1/B+1/C+1/D; A=24.0,B=40.0,C=50.0,D=50.0</t>
  </si>
  <si>
    <t>es0002</t>
  </si>
  <si>
    <t>Exp002</t>
  </si>
  <si>
    <t>n = 74, p = 0.047</t>
  </si>
  <si>
    <t>Significant mate-choice copying</t>
  </si>
  <si>
    <t>Data from experiment Control 1. Note that data comes from both text and Figure 3</t>
  </si>
  <si>
    <t>[converted from OR] d=ln(OR)×√3/π×J; OR=1.6429, Var(logOR)=0.0975, n=74, J=0.9897</t>
  </si>
  <si>
    <t>OR=(A×D)/(B×C); Var(logOR)=1/A+1/B+1/C+1/D; A=46.0,B=28.0,C=50.0,D=50.0</t>
  </si>
  <si>
    <t>es0003</t>
  </si>
  <si>
    <t>Exp003</t>
  </si>
  <si>
    <t>n = 62, p = 0.05</t>
  </si>
  <si>
    <t>Data from experiment Control 2. Note that data comes from both text and Figure 3</t>
  </si>
  <si>
    <t>[converted from OR] d=ln(OR)×√3/π×J; OR=1.68, Var(logOR)=0.1038, n=67, J=0.9886</t>
  </si>
  <si>
    <t>OR=(A×D)/(B×C); Var(logOR)=1/A+1/B+1/C+1/D; A=42.0,B=25.0,C=50.0,D=50.0</t>
  </si>
  <si>
    <t>es0004</t>
  </si>
  <si>
    <t>Belkina_2021_AnimalBehaviour</t>
  </si>
  <si>
    <t>10.1016/j.anbehav.2021.04.007</t>
  </si>
  <si>
    <t>Drosophila melanogaster</t>
  </si>
  <si>
    <t>We began each mate choice test by placing one female in each of the tubes (chambers) and then placing one blue and one pink male into the larger demonstration chamber with the female. Males were given 10 min to initiate courtship. If neither male initiated courtship within 10 min, they were removed and replaced by a new set of males. If either of the males displayed courtship behaviour, they were given an additional 20 min for copulation. If copulation failed to take place, the males were again replaced by a new set of males. If successful copulation occurred, the observer female was allowed to observe for the entire duration of the copulation event, usually between 20 and 30 min. Upon completion, the mated pair and the unsuccessful male were removed, and the observer female was transferred into the demonstration chamber along with two new males. A new female was placed into the observation chamber and the same procedure was repeated. If this demonstrator female, which was initially the observer, ultimately failed to copulate, the mate choice test was discarded and begun anew.</t>
  </si>
  <si>
    <t>Table</t>
  </si>
  <si>
    <t>Table 1, page 178</t>
  </si>
  <si>
    <t>Count data of results of mating by type of observer and demonstrator choice</t>
  </si>
  <si>
    <t>NA</t>
  </si>
  <si>
    <t xml:space="preserve">To get the sample size for each combination (A, B, C, D), it was necessary to add positive outcomes (Observer choice = Demonstrator choice; [Oblue = Dblue]+[Opink = Dpink]), and all complementary (Observer choice &lt;&gt; Demonstrator choice), and the controls. All of these are available in Table 1. </t>
  </si>
  <si>
    <t>I could have used the information of the inferential test in the second paragraph of the Result secion in page 178, but opted to use the sample sizes.</t>
  </si>
  <si>
    <t>[converted from OR] d=ln(OR)×√3/π×J; OR=0.9857362, Var(logOR)=0.04492793, n=368, J=0.998</t>
  </si>
  <si>
    <t>epitools::oddsratio()</t>
  </si>
  <si>
    <t>es0005</t>
  </si>
  <si>
    <t>Bierbach_2011_BehavioralEcologyAndSociobiology</t>
  </si>
  <si>
    <t>10.1007/s00265-011-1177-3</t>
  </si>
  <si>
    <t>Poecilia mexicana</t>
  </si>
  <si>
    <t>Before-and-after</t>
  </si>
  <si>
    <t>Individual</t>
  </si>
  <si>
    <t>Association</t>
  </si>
  <si>
    <t>Association time</t>
  </si>
  <si>
    <t>Treatment 2 was similar to previous mate copying tests in P. latipinna (Schlupp and Ryan 1997). Again, two Plexiglas cylinders were placed in the front portion of both females’ compartments (see above), but we now introduced one model male per cylinder, so the focal male could observe a model male visually interact with the formerly non-preferred female but was prevented from seeing the other male interact with the formerly preferred female. The stimulus females resided in the back half of their compartments throughout the observation phase, as we prevented them from moving behind the cylinder containing the model male by fitting green artificial aquarium plants into the gap between the cylinder and the rear aquarium wall.</t>
  </si>
  <si>
    <t>Male</t>
  </si>
  <si>
    <t>Figure</t>
  </si>
  <si>
    <t>Figure 3</t>
  </si>
  <si>
    <t>The "Copying Score" on the Y-axis represents the change in a male's preference for an initially non-preferred female after observing a model male interact with her. Positive values indicate an increase in preference (copying)</t>
  </si>
  <si>
    <t>Control copying score = 0.11. P = 0.033, SE = 0.05</t>
  </si>
  <si>
    <t>Effect sizes (copying index from the bars in Figure 3). Samples sizes from the t-test DF in the text on page 1703.</t>
  </si>
  <si>
    <t>Mean difference</t>
  </si>
  <si>
    <t>If necessary, look for the control group information that is in the effectSizeEstimateExtra column</t>
  </si>
  <si>
    <t>g from Fig 3 means±SE (Tr2 vs Ctrl). Ctrl SE visually ~0.03. SD=SE×√n; SP pooled; g=d×J (df=40)</t>
  </si>
  <si>
    <t>[converted from Hedges' D] logOR=g×π/√3; g=0.7917, Var(g)=0.1039</t>
  </si>
  <si>
    <t>es0006</t>
  </si>
  <si>
    <t>To allow physical interactions between the model male and the formerly non-preferred female, we introduced the model male without a Plexiglas cylinder into the partition of the formerly non-preferred female (treatment 3). Hence, the model male could interact sexually with the stimulus female.</t>
  </si>
  <si>
    <t>Control copying score = 0.11. P = 0.374, SE = 0.04</t>
  </si>
  <si>
    <t>g from Fig 3 means±SE (Tr3 vs Ctrl). Ctrl SE visually ~0.03. SD=SE×√n; SP pooled; g=d×J (df=37)</t>
  </si>
  <si>
    <t>[converted from Hedges' D] logOR=g×π/√3; g=0.4359, Var(g)=0.1052</t>
  </si>
  <si>
    <t>es0007</t>
  </si>
  <si>
    <t>Cirino_2023_AnimalBehaviour</t>
  </si>
  <si>
    <t>10.1016/j.anbehav.2023.03.018</t>
  </si>
  <si>
    <t>Enchenopa binotata</t>
  </si>
  <si>
    <t>Acoustic stimuli</t>
  </si>
  <si>
    <t>Female response (sound)</t>
  </si>
  <si>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</si>
  <si>
    <t>Figure 5, page 143</t>
  </si>
  <si>
    <t>Mean intensity of female responses to sound stimuli by type of treatment on unatrractive males (150 Hz)</t>
  </si>
  <si>
    <t>treatment mean = 0.75, SE = 0.15, n = 25; control mean = 0.8, SE = 0.12, n = 24</t>
  </si>
  <si>
    <t>Sample size here is number of females</t>
  </si>
  <si>
    <t>Hard</t>
  </si>
  <si>
    <t>Extracted mean +/- SE from Figure 5</t>
  </si>
  <si>
    <t>g=(treat-ctrl)/SP×J; SD=SE×√n; n_ctrl=24, n_treat=25</t>
  </si>
  <si>
    <t>[converted from Hedges' D] logOR=g×π/√3; g=-0.0728, Var(g)=0.0817</t>
  </si>
  <si>
    <t>es0008</t>
  </si>
  <si>
    <t>Mean intensity of female responses to sound stimuli by type of treatment on atrractive males (185 Hz)</t>
  </si>
  <si>
    <t>treatment mean = 2.55, SE = 0.2, n = 25; control mean = 2.25, SE = 0.15, n = 25</t>
  </si>
  <si>
    <t>g=(treat-ctrl)/SP×J; SD=SE×√n; n_ctrl=25, n_treat=25</t>
  </si>
  <si>
    <t>[converted from Hedges' D] logOR=g×π/√3; g=0.3341, Var(g)=0.0812</t>
  </si>
  <si>
    <t>es0009</t>
  </si>
  <si>
    <t>Clemente_2012_UniversidadeLisboa</t>
  </si>
  <si>
    <t>In this protocol a virgin observer female, placed in a small plastic tube (the central vial in Figure 2), was given the opportunity to observe the mating choices of other females. The demonstrator couples were placed in a second tube (on one of the peripheral tubes in Figure 2), adjacent to first one and separated from it by a microscope cover glass. Two distinct male phenotypes were created by artificially dusting them with pink or green powders. These males were then used alternately in two types of demonstrations: positive and negative. For positive demonstrations, a male of one phenotype was placed, for one hour, with a virgin female that was receptive for copulation. The occurrence of copulation during this period provided positive social information about the male attractiveness to the observer female.</t>
  </si>
  <si>
    <t>In-text and table</t>
  </si>
  <si>
    <t>In-text, final paragraph of page 22, and Table 9</t>
  </si>
  <si>
    <t>Proportion of correct choices (observer chose the male phenotype chosen by demonstrator)</t>
  </si>
  <si>
    <t>Wald statistics = 1.55627, p = 212212</t>
  </si>
  <si>
    <t>Proportion of correct choices (copying behavior being correct, by the author)</t>
  </si>
  <si>
    <t>Medium</t>
  </si>
  <si>
    <t>Sample size here seems to be 92, from Table 9, but it is reported wrongly as 29.</t>
  </si>
  <si>
    <t>[converted from OR] d=ln(OR)×√3/π×J; OR=1.3, Var(logOR)=0.0877, n=92, J=0.9917</t>
  </si>
  <si>
    <t>OR=(A×D)/(B×C); Var(logOR)=1/A+1/B+1/C+1/D; A=52.0,B=40.0,C=46.0,D=46.0</t>
  </si>
  <si>
    <t>es0010</t>
  </si>
  <si>
    <t>Duffy_2025_AnimalBehaviour</t>
  </si>
  <si>
    <t>10.1016/j.anbehav.2025.123148</t>
  </si>
  <si>
    <t>Other studies have randomly assigned individuals to be tested once (no baseline preference) in separate control and social treatment groups to compare the mean ‘strength of preference’ (SOP) between groups, as we do here. Observers underwent a dichotomous mate choice test after observing either social information from demonstrators (nonindependent mate choice; N 1⁄4 23) or no social information (control; N 1⁄4 12).</t>
  </si>
  <si>
    <t>Page 5, first paragraph of result section, and Table 1.</t>
  </si>
  <si>
    <t>Strength of Preference (SOP) score for control and treatment groups.</t>
  </si>
  <si>
    <t>SOP values (SDs, Ns): Control: 79.19 (4.9%; n = 12); Treatment: 80.55 (3.4%; n = 21)</t>
  </si>
  <si>
    <t>We have information on effect sizes (SOP), SDs and sample sizes (from Methods, page 2, end of 2nd column)</t>
  </si>
  <si>
    <t>This paper has a control and treatment design with the estimated association time for each group.</t>
  </si>
  <si>
    <t>g=(treat-ctrl)/SP×J; n_ctrl=12, n_treat=21</t>
  </si>
  <si>
    <t>[converted from Hedges' D] logOR=g×π/√3; g=0.3319, Var(g)=0.1327</t>
  </si>
  <si>
    <t>es0011</t>
  </si>
  <si>
    <t>Harrison-Weiss_2024_McMasterUniversity</t>
  </si>
  <si>
    <t>Porichthys notatus</t>
  </si>
  <si>
    <t>Spawning information</t>
  </si>
  <si>
    <t>After the tubes had been inserted, one fecund focal female  (n=24) was added to each tank and given up to three days to spawn with either the male in the  nest with an empty tube or the size-matched male in the nest with a tube containing a stimulus  female. We recorded when the focal female laid eggs in either nest. If the focal female had not  spawned after three days, she was removed from the tank and replaced with a new fecund  female.</t>
  </si>
  <si>
    <t>In-text</t>
  </si>
  <si>
    <t>First paragraph result section, page 30</t>
  </si>
  <si>
    <t>Count data of results of spawning by type of observer and demonstrator choice</t>
  </si>
  <si>
    <t>To calculate each combination (A, B, C, and D) it is necessary to use the total sample size and subtract one of the groups from the total</t>
  </si>
  <si>
    <t>This study has at least 3 effect sizes. Little description of the characteristics of focal individuals</t>
  </si>
  <si>
    <t>[converted from OR] d=ln(OR)×√3/π×J; OR=0.5, Var(logOR)=0.3542, n=48, J=0.984</t>
  </si>
  <si>
    <t>OR=(A×D)/(B×C); Var(logOR)=1/A+1/B+1/C+1/D; A=8.0,B=16.0,C=12.0,D=12.0</t>
  </si>
  <si>
    <t>es0012</t>
  </si>
  <si>
    <t>Presence of eggs in nest</t>
  </si>
  <si>
    <t>To determine whether females use eggs as a cue for mate choice copying, we conducted a  second experiment. We used an identical tank set-up as the one employed in Experiment 1.</t>
  </si>
  <si>
    <t>[converted from OR] d=ln(OR)×√3/π×J; OR=1.0, Var(logOR)=0.3077, n=52, J=0.9852</t>
  </si>
  <si>
    <t>OR=(A×D)/(B×C); Var(logOR)=1/A+1/B+1/C+1/D; A=13.0,B=13.0,C=13.0,D=13.0</t>
  </si>
  <si>
    <t>es0013</t>
  </si>
  <si>
    <t>Next, we brought the largest of the two observer females across the  barrier and gave her access to the two guarder males. This focal female was then given up to  three days to either spawn with the same male as the demonstrator female (treatment) or the  other male not chosen by the demonstrator female (control). After the first observer female had  spawned, she was removed and the second observer female was moved across the barrier and  given the opportunity to spawn.</t>
  </si>
  <si>
    <t>Bottom of paragraph in result section, page 30</t>
  </si>
  <si>
    <t>[converted from OR] d=ln(OR)×√3/π×J; OR=3.0, Var(logOR)=0.3889, n=48, J=0.984</t>
  </si>
  <si>
    <t>OR=(A×D)/(B×C); Var(logOR)=1/A+1/B+1/C+1/D; A=18.0,B=6.0,C=12.0,D=12.0</t>
  </si>
  <si>
    <t>es0014</t>
  </si>
  <si>
    <t>Harrison-Weiss_2025_AnimalBehaviour</t>
  </si>
  <si>
    <t>10.1016/j.anbehav.2025.123292</t>
  </si>
  <si>
    <t>Same data as in Harrison-Weiss_2024_Unknown</t>
  </si>
  <si>
    <t>es0015</t>
  </si>
  <si>
    <t>Huckvale_2016_UniversityOfExeter</t>
  </si>
  <si>
    <t>Poecilia reticulata</t>
  </si>
  <si>
    <t>"Female guppies underwent a conditioning phase (8 days, colour cue associated with high-quality male location) followed by a testing phase: Stage 1 = observer's spontaneous zone preference; Stage 2 = observer watches demonstrator female make the opposite zone choice; Stage 3 = observer retested. Three starvation treatments: 0-hr, 24-hr, 48-hr deprivation. GLMM used to test effects of demonstrator, treatment, conditioning, and colour on time spent in each zone."</t>
  </si>
  <si>
    <t>"Table 6, page 58. GLMM results after modular reduction."</t>
  </si>
  <si>
    <t>GLMM Chi-squared (likelihood ratio test) for demonstrator effect</t>
  </si>
  <si>
    <t>"ChiSq=2.5325, df=2, p=0.2819 for demonstrator effect alone. Interaction demonstrator×treatment: ChiSq=12.938, df=6, p=0.044 (but unreliable — 48-hr group n=1 in demonstrator-favoured cell). GLMM estimate for demonstrator: -61.999 (SE=46.718)."</t>
  </si>
  <si>
    <t>"Conditioning phase failed (females formed no significant colour-cue association). Main MCC effect not significant. Significant interaction driven by a single observation in 48-hr group (no SE bar in Figure 13). Overall direction: non-starved (0-hr) females spend MORE time in zones NOT favoured by demonstrator — anti-copying pattern."</t>
  </si>
  <si>
    <t>Inferential statistics</t>
  </si>
  <si>
    <t>"Unpublished MbyRes thesis. Conditioning phase was unsuccessful — females did not form the intended asocial preference. The testing phase proceeded regardless but lacks a validated asocial baseline. The significant GLMM interaction (p=0.044) is extremely unreliable due to n=1 in the 48-hr starvation group's demonstrator-favoured cell. This study may warrant exclusion from the meta-analysis due to failed conditioning, unusual design, and extremely small group sizes."</t>
  </si>
  <si>
    <t>es0016</t>
  </si>
  <si>
    <t>Kavaliers_2019_HormonesAndBehavior</t>
  </si>
  <si>
    <t>10.1016/j.yhbeh.2019.04.016</t>
  </si>
  <si>
    <t>Odour stimuli</t>
  </si>
  <si>
    <t>The odor sources (n = 10, for each condition) for pre-exposure were bedding (50 g) of either an: (i) uninfected male (A) + uninfected estrous female; (ii) male (A) + H. polygyrus infected estrous female; (iii) male (A) + uninfected non-estrous female; (iv) male (A) + restraint stressed female. Females were restraint stressed by being placed in a sealed vented tube (10 cm × 3 cm) that included bedding that was used as the odor source for exposures. The male stimulus odors for the preference tests were the odors of a familiar male (familiar male A) associated with female odor versus unfamiliar uninfected male (unfamiliar male B), with the natural expected preference being for unfamiliar males (Choleris et al., 2009). Urine was collected and presented as described in Experiment 1. In control studies determination were made of the effects of pre exposure to the odors of: (i) Male A alone; (ii) Uninfected estrous female alone; (ii) Infected estrous female alone on familiar Male A - unfamiliar Male B preferences.</t>
  </si>
  <si>
    <t>Figure 3, first column on the left</t>
  </si>
  <si>
    <t>Proportion of females that chose the male with an associated female odor</t>
  </si>
  <si>
    <t>Proportion of females that chose the male with the female demonstrator odor</t>
  </si>
  <si>
    <t>To calculate each combination (A, B, C, and D) it is necessary to use the total sample size (N = 10) and multiply the proportion that chose + (0.83), and chose negative (0.17)</t>
  </si>
  <si>
    <t>Information extracted from one of the treatments from Figure 3. Did not use the other treatments as they manipulate infection and stress state.</t>
  </si>
  <si>
    <t>[converted from OR] d=ln(OR)×√3/π×J; OR=4.0, Var(logOR)=1.025, n=10, J=0.9143</t>
  </si>
  <si>
    <t>OR=(A×D)/(B×C); Var(logOR)=1/A+1/B+1/C+1/D; A=8.0,B=2.0,C=5.0,D=5.0</t>
  </si>
  <si>
    <t>es0017</t>
  </si>
  <si>
    <t>Kavaliers_2022_AnimalCognition</t>
  </si>
  <si>
    <t>10.1007/s10071-021-01550-z</t>
  </si>
  <si>
    <t>Mus musculus</t>
  </si>
  <si>
    <t>The odor choices (n = 8, in all cases) provided to estrous female mice on Day 1 were: (1) Male B + no female (blank filter paper) vs Male A; (2) Male B + familiar and kin (sibling) female vs Male A; (3) Male B + familiar/non-kin female vs Male A; (4) Male B + unfamiliar/non-kin female vs Male A. Twenty-four hours later (Day 2), odor preferences were again determined, without any accompanying female odor in the stimulus odor pairs. On Day 1, the male odor sources “A” and “B” came from equivalent non-kin unfamiliar males. On Day 2, Male “B” odor was the same as on Day 1, while Male “A” odor was from a male different from that used on Day 1. The unfamiliar Male A was used to increase the power of discrimination, in that estrous female mice show an enhanced discrimination of, and preference for unfamiliar males (Kavaliers et al. 2003).</t>
  </si>
  <si>
    <t>Figure 3, both bars from trials on day 1</t>
  </si>
  <si>
    <t>Proportion trial that chose social information (0.72); proportion of control that chose (0.54)</t>
  </si>
  <si>
    <t>To calculate each combination (A, B, C, and D) it is necessary to use the total sample size (N = 8) and multiply the proportion that chose + (0.72), and chose negative (0.28)</t>
  </si>
  <si>
    <t>Used information from Figure 3, which is the trial that compares males with no social information to males that have social information of odor of estrous unfamiliar females</t>
  </si>
  <si>
    <t>[converted from OR] d=ln(OR)×√3/π×J; OR=3.0, Var(logOR)=1.1667, n=16, J=0.9492</t>
  </si>
  <si>
    <t>OR=(A×D)/(B×C); Var(logOR)=1/A+1/B+1/C+1/D; A=6.0,B=2.0,C=4.0,D=4.0</t>
  </si>
  <si>
    <t>es0018</t>
  </si>
  <si>
    <t>Kniel_2015_FrontiersInZoology</t>
  </si>
  <si>
    <t>10.1186/s12983-015-0119-8</t>
  </si>
  <si>
    <t>Taeniopygia guttata castanotis</t>
  </si>
  <si>
    <t>During the observation period, which lasted 2 h, females could observe a new, single unadorned male in one cage and a pair of zebra finches, a new adorned male and his wild-type female mate separated by a screen, in the other cage</t>
  </si>
  <si>
    <t>Page 3, Section "Treatment One": Females preferred adorned over unadorned males during the second mate-choice test (one-sample t-test: t = −2.323, df = 14, p = 0.036).</t>
  </si>
  <si>
    <t>One-sample t-test result</t>
  </si>
  <si>
    <t>df = 14, p = 0.036</t>
  </si>
  <si>
    <t>Direction of test confirms that observer females chose the males that were associated with the social stimuli</t>
  </si>
  <si>
    <t>g=t/√n×J; paired/one-sample t=-2.323, n=15</t>
  </si>
  <si>
    <t>[converted from Hedges' D] logOR=g×π/√3; g=-0.5671, Var(g)=0.0782</t>
  </si>
  <si>
    <t>es0019</t>
  </si>
  <si>
    <t>Kniel_2017_Ethology</t>
  </si>
  <si>
    <t>10.1111/eth.12611</t>
  </si>
  <si>
    <t>In treatment one, one cage contained a single unadorned male  and the other contained a pair of zebra finches that were both artificially adorned with a red feather, the model female and her mate.</t>
  </si>
  <si>
    <t>Page 415, Result section: "but they showed a preference  for unadorned males during the second mate-choice test (one-sample  t test: t = −2.147, df = 14, p = .050)."</t>
  </si>
  <si>
    <t>df = 14, p = 0.05</t>
  </si>
  <si>
    <t>Direction of test against hypothesis that observer females chose the males that were associated with the social stimuli</t>
  </si>
  <si>
    <t>g=t/√n×J; paired/one-sample t=-2.147, n=15</t>
  </si>
  <si>
    <t>[converted from Hedges' D] logOR=g×π/√3; g=-0.5241, Var(g)=0.0765</t>
  </si>
  <si>
    <t>es0020</t>
  </si>
  <si>
    <t>In treatment two, one cage contained a single adorned male and the  other contained a pair of zebra finches where the model female was  adorned and her mate was unadorned.</t>
  </si>
  <si>
    <t>Page 416, Treatment Two section: "but not during the second mate-choice test (onesample t test: t = 1.677, df = 14, p = .116)."</t>
  </si>
  <si>
    <t>df = 14, p = 0.116</t>
  </si>
  <si>
    <t>g=t/√n×J; paired/one-sample t=1.677, n=15</t>
  </si>
  <si>
    <t>[converted from Hedges' D] logOR=g×π/√3; g=0.4094, Var(g)=0.0727</t>
  </si>
  <si>
    <t>es0021</t>
  </si>
  <si>
    <t>Kobayashi_2026_JournalOfEthology</t>
  </si>
  <si>
    <t>10.1007/s10164-025-00876-2</t>
  </si>
  <si>
    <t>After the first trial, one model female in the clear cylinder was placed near the nonpreferred male, whereas an empty cylinder was placed near the preferred male. (0-1 trial)</t>
  </si>
  <si>
    <t>Figure 4, data from treatment 0-1. Data from closed squares (second trial, when demonstrator females were present)</t>
  </si>
  <si>
    <t>Mean association time difference the focal female spent with a male (preferred - non-preferred) in seconds (s). Negative values mean that females spent more time with non-preferred (from first trial) males</t>
  </si>
  <si>
    <t>95%CI: -68 to -32</t>
  </si>
  <si>
    <t>Estimates with 95% CI that don't overlap 0 mean (according to study) that females spent significantly more time with a male over the other</t>
  </si>
  <si>
    <t>Study has several different trials in which they vary the number of demonstrator females and which males they are associated with. Each trial used sets of different females</t>
  </si>
  <si>
    <t>g from Fig 4 (trial1=ctrl open circle, trial2=treat closed square). CI half-width/1.96=SE; SD=SE×√n; g=(treat−ctrl)/SP_pooled×J (independent-groups approx — conservative for paired design)</t>
  </si>
  <si>
    <t>[converted from Hedges' D] logOR=g×π/√3; g=-1.7625, Var(g)=0.1341</t>
  </si>
  <si>
    <t>es0022</t>
  </si>
  <si>
    <t>Second, after the first trial, we placed one model female near the preferred male and three model females near the nonpreferred male. (1-3 trial)</t>
  </si>
  <si>
    <t>Figure 4, data from treatment 1-3. Data from closed squares (second trial, when demonstrator females were present)</t>
  </si>
  <si>
    <t>95%CI: 35 to 93</t>
  </si>
  <si>
    <t>[converted from Hedges' D] logOR=g×π/√3; g=-0.3436, Var(g)=0.0967</t>
  </si>
  <si>
    <t>es0023</t>
  </si>
  <si>
    <t>Third, after the first trial, we placed three model females near the preferred male and one model near the nonpreferred male. (3-1 trial)</t>
  </si>
  <si>
    <t>Figure 4, data from treatment 3-1. Data from closed squares (second trial, when demonstrator females were present)</t>
  </si>
  <si>
    <t>95%CI: -130 to -20</t>
  </si>
  <si>
    <t>[converted from Hedges' D] logOR=g×π/√3; g=-1.4046, Var(g)=0.126</t>
  </si>
  <si>
    <t>es0024</t>
  </si>
  <si>
    <t>Exp004</t>
  </si>
  <si>
    <t>Fourth, after the first trial, we placed three model females near the preferred male and an empty cylinder near the nonpreferred male (3-0 trial)</t>
  </si>
  <si>
    <t>Figure 4, data from treatment 3-0. Data from closed squares (second trial, when demonstrator females were present)</t>
  </si>
  <si>
    <t>95%CI: -72 to 53</t>
  </si>
  <si>
    <t>[converted from Hedges' D] logOR=g×π/√3; g=-0.9403, Var(g)=0.1116</t>
  </si>
  <si>
    <t>es0025</t>
  </si>
  <si>
    <t>Exp005</t>
  </si>
  <si>
    <t>Finally, after the first trial, we placed two model females near the preferred male and one model near the nonpreferred male. (2-1 trial)</t>
  </si>
  <si>
    <t>Figure 4, data from treatment 2-1. Data from closed squares (second trial, when demonstrator females were present)</t>
  </si>
  <si>
    <t>95%CI: -122 to -8</t>
  </si>
  <si>
    <t>[converted from Hedges' D] logOR=g×π/√3; g=-1.2439, Var(g)=0.1146</t>
  </si>
  <si>
    <t>es0026</t>
  </si>
  <si>
    <t>MacLaren_2019_Ethology</t>
  </si>
  <si>
    <t>10.1111/eth.12885</t>
  </si>
  <si>
    <t>For Expt II, the time that the subject female spent with the nonpreferred male in preference test 2 was compared with the time she  spent with the same dummy male in preference test 1. If a female  spent more time with the non‐preferred male in preference test 2  than in preference test 1, it was concluded that the model female  had induced a shift in the subject female's strength of preference  indicative of mate choice copying.</t>
  </si>
  <si>
    <t xml:space="preserve">Data from text, page 581, section 3.3, data for Cohort 2 (n = 16). Information is mean </t>
  </si>
  <si>
    <t>Paired-sample t-test result</t>
  </si>
  <si>
    <t>t = 7.954, df = 15, p =˂ 0.001</t>
  </si>
  <si>
    <t>Couldn't use data for mean +/- error, because nowhere in the paper the author mentions what the error is</t>
  </si>
  <si>
    <t>Authors separate the total number of females used in the trials into those that initially preferred the novel trait (orange tail) versus those that preferred wild type males. Thus I need to record two entries for this study</t>
  </si>
  <si>
    <t>g=t/√n×J; paired/one-sample t=7.954, n=16</t>
  </si>
  <si>
    <t>[converted from Hedges' D] logOR=g×π/√3; g=1.8874, Var(g)=0.1812</t>
  </si>
  <si>
    <t>es0027</t>
  </si>
  <si>
    <t>Data from text, page 581, section 3.3, data for Cohort 1 (n = 18). Information is from statistical test in second column, second paragraph of this section</t>
  </si>
  <si>
    <t>t = 1.566, df = 17, p = 0.136</t>
  </si>
  <si>
    <t>g=t/√n×J; paired/one-sample t=1.566, n=18</t>
  </si>
  <si>
    <t>[converted from Hedges' D] logOR=g×π/√3; g=0.3526, Var(g)=0.0592</t>
  </si>
  <si>
    <t>es0028</t>
  </si>
  <si>
    <t>MacLaren_2024_PlosOne</t>
  </si>
  <si>
    <t>10.1371/journal.pone.0298171</t>
  </si>
  <si>
    <t>Phase 1: baseline preference for large dummy male established (paired t: t=4.600, df=17, p&lt;0.001). Phase 2: wild type model female paired with initially non-preferred small male for 10 min observation, then preference retest. MCC if females spent more time with small male in phase 2 vs phase 1.</t>
  </si>
  <si>
    <t>Table 1, row 'I(groupW): Time with sm. male in Phase1 vs Phase2 (with wild model)', p.11</t>
  </si>
  <si>
    <t>2-sample t-test (non-preferred male time: phase1 vs phase2)</t>
  </si>
  <si>
    <t>df=34, p&lt;0.001</t>
  </si>
  <si>
    <t>Females significantly increased time with initially non-preferred small male after observing wild type model. Phase 2 alone: t=2.942, df=17, p=0.009; large male decrease: t=3.625, df=34, p&lt;0.001</t>
  </si>
  <si>
    <t>Expt I Group W (wild type model). Three groups: W=wild type model (n=18), G=gold model (n=19), C=no-model control (n=17). Dummy males used (7.0 cm large, 5.5 cm small).</t>
  </si>
  <si>
    <t>g from 2-sample t (t=6.123, n=18/phase, df=34); Phase1 sm male=196.78s (Fig3), change=-230.39s (Fig4)-&gt;Phase2=427.17s; SP=(diff)/(t*sqrt(2/n)); g=d*J</t>
  </si>
  <si>
    <t>[converted from Hedges' D] logOR=g×π/√3; g=1.9956, Var(g)=0.1697</t>
  </si>
  <si>
    <t>es0029</t>
  </si>
  <si>
    <t>Poecilia latipinna</t>
  </si>
  <si>
    <t>Phase 1: baseline preference for large dummy male established (paired t: t=5.10, df=18, p&lt;0.001). Phase 2: gold model female paired with initially non-preferred small male for 10 min observation, then preference retest. MCC if females spent more time with small male in phase 2 vs phase 1.</t>
  </si>
  <si>
    <t>Table 1, row 'I(groupG): Time with sm. male in Phase1 vs Phase2 (with gold model)', p.11</t>
  </si>
  <si>
    <t>df=36, p&lt;0.001</t>
  </si>
  <si>
    <t>Females copied gold model's choice. Phase 2 alone: t=4.707, df=18, p&lt;0.001; large male decrease: t=5.764, df=36, p&lt;0.001</t>
  </si>
  <si>
    <t>Expt I Group G (artificially-selected gold model). Three groups: W=wild type model (n=18), G=gold model (n=19), C=no-model control (n=17). Dummy males used.</t>
  </si>
  <si>
    <t>g from 2-sample t (t=6.618, n=19/phase, df=36); Phase1 sm male=198.95s (Fig3), change=-214.95s (Fig4)-&gt;Phase2=413.90s; SP from t; g=d*J</t>
  </si>
  <si>
    <t>[converted from Hedges' D] logOR=g×π/√3; g=2.1021, Var(g)=0.1666</t>
  </si>
  <si>
    <t>es0030</t>
  </si>
  <si>
    <t>Phase 1: baseline preference for large dummy male established (paired t: t=4.578, df=16, p&lt;0.001). Phase 2: no model presented; empty model tank placed in front of non-preferred small male. MCC if females spent more time with small male in phase 2 vs phase 1.</t>
  </si>
  <si>
    <t>Table 1, row 'I(groupC): Time with sm. male in Phase1 vs Phase2 (no model cont.)', p.11</t>
  </si>
  <si>
    <t>df=32, p=0.976</t>
  </si>
  <si>
    <t>No change in time with small male between phases. Phase 2 still preferred large: t=4.751, df=16, p&lt;0.001; large male unchanged across phases: t=1.182, df=32, p=0.246</t>
  </si>
  <si>
    <t>Expt I Group C (no-model control). Confirms shift in W/G groups is due to model. Females maintained large male preference throughout.</t>
  </si>
  <si>
    <t>g from 2-sample t (t=0.031, n=17/phase, df=32); Phase1 sm male=268.24s (Fig3), change=-0.82s (Fig4)-&gt;Phase2=269.06s; SP from t (unstable at t~0); g=d*J</t>
  </si>
  <si>
    <t>[converted from Hedges' D] logOR=g×π/√3; g=0.0104, Var(g)=0.1176</t>
  </si>
  <si>
    <t>es0031</t>
  </si>
  <si>
    <t>Two size-matched dummy males each paired simultaneously with different model females (one gold, one wild type). Subject observes both for 10 min then chooses between males. Test: which model's choice do females copy (gold-modeled vs wild type-modeled male preference)? No baseline preference test for male stimuli.</t>
  </si>
  <si>
    <t>Table 1, row 'II: Time with wild type-modeled male vs gold-modeled male', p.11</t>
  </si>
  <si>
    <t>Paired t-test (gold-modeled vs wild type-modeled male association time)</t>
  </si>
  <si>
    <t>df=19, p&lt;0.001; females consistently preferred male paired with gold model in both trials</t>
  </si>
  <si>
    <t>Preference for gold-modeled male replicated in trials 1 and 2 (models switched between trials). Trial 1: t=3.692, df=38, p&lt;0.001; trial 2: t=4.975, df=38, p&lt;0.001. Table 1 combined t=4.003, df=19.</t>
  </si>
  <si>
    <t>Expt II: simultaneous gold vs wild type model comparison. Not standard before-after MCC; tests which model induces stronger copying. Models switched sides across 2 trials.</t>
  </si>
  <si>
    <t>g from paired t (t=4.003, n=20, df=19); Fig5 ctrl=wild-modeled male 269.5s, treat=gold-modeled male 429.5s (combined 2 trials); SDs from Fig5 SE*sqrt(n); g=t/sqrt(n)*J</t>
  </si>
  <si>
    <t>[converted from Hedges' D] logOR=g×π/√3; g=0.8593, Var(g)=0.0694</t>
  </si>
  <si>
    <t>es0032</t>
  </si>
  <si>
    <t>Phase 1: baseline preference for gold vs wild type dummy male established (females preferred gold: t=4.169, df=19, p&lt;0.001; tested on day 1). Phase 2 (24 hr later): wild type model female paired with non-preferred wild type male for 10 min observation, then preference retest. MCC if females increased time with wild type (non-preferred) male in phase 2.</t>
  </si>
  <si>
    <t>Table 1, rows 'III Phase2: time with gold male vs wild type-male (with model)' and 'III: Time with wild type male in Phase1 vs Phase2 (with model)', p.11</t>
  </si>
  <si>
    <t>2-sample t-test (non-preferred wild type male time: phase1 vs phase2)</t>
  </si>
  <si>
    <t>df=38, p=0.234; no significant change in time with wild type male between phases</t>
  </si>
  <si>
    <t>Pre-existing sensory bias for gold male overrides MCC. Phase 2 paired t still showed gold preference: t=2.671, df=19, p=0.015. Gold male time unchanged across phases: t=1.303, df=38, p=0.200.</t>
  </si>
  <si>
    <t>Expt III: pre-existing aesthetic preference for gold male overrides MCC. Wild type model paired with non-preferred wild type male but females maintained gold preference.</t>
  </si>
  <si>
    <t>g from 2-sample t (t=1.208, n=20/phase, df=38); Phase1 wild=245.2s, Phase2 wild=276.0s (Fig6); SP from t; g=d*J</t>
  </si>
  <si>
    <t>[converted from Hedges' D] logOR=g×π/√3; g=0.3744, Var(g)=0.1018</t>
  </si>
  <si>
    <t>es0033</t>
  </si>
  <si>
    <t>Marcos_2019_ISPA</t>
  </si>
  <si>
    <t>A fase da demonstração começava quando uma fêmea focal era colocada num dos tubos  do dispositivo experimental e no tubo adjacente, separado do primeiro pela lamela de  vidro, eram colocados um casal em cópula e um macho solitário. Imaginemos que o  macho que estava em cópula era o azul e o solitário o cor-de-rosa. Isto implicava que o  macho azul estava a transmitir à fêmea observadora informação social positiva pela sua  capacidade de atrair parceiros e garantir a cópula e o macho rosa a transmitir  informação social negativa.</t>
  </si>
  <si>
    <t>Figure 8, experient MCC, group CS (which is the wild type lineage). Data extracted with Gemini</t>
  </si>
  <si>
    <t>Proportion of matings</t>
  </si>
  <si>
    <t>SE = 0.06; n = 90; successes = 60 (0.67 * 90)</t>
  </si>
  <si>
    <t>The CS (Canton-S) control females show a significant increase in preference for the target male after social demonstration. In the IMC (baseline) condition, the preference is exactly at the random choice level of 0.50 ($n=42$), whereas in the MCC condition, it rises to ~0.67.</t>
  </si>
  <si>
    <t>Text in portuguese from dissertation from Portugal.</t>
  </si>
  <si>
    <t>[converted from OR] d=ln(OR)×√3/π×J; OR=2.0, Var(logOR)=0.0944, n=90, J=0.9915</t>
  </si>
  <si>
    <t>OR=(A×D)/(B×C); Var(logOR)=1/A+1/B+1/C+1/D; A=60.0,B=30.0,C=45.0,D=45.0</t>
  </si>
  <si>
    <t>es0034</t>
  </si>
  <si>
    <t>Miller_2013_CarletonUniversity</t>
  </si>
  <si>
    <t>During Phase 2, the male end compartments were both divided in half by a  transparent partition (Fig. 4b). With the opaque partitions in place and the female in the  central cylinder, a model female was placed in the half-compartment adjacent to the male  that was not initially preferred by the focal female. Based on previous studies (e.g.  Dugatkin and Godin, 1992c; Briggs et al., 1996; Godin et al., 2005), it was expected that  this male and model female would interact sexually (courtship behaviours exhibited by  both sexes) across the clear partition separating them. To control for possible differential  activity of the paired males, a ‘pseudo-model female’ was placed in the half-compartment  next to the other male, but an opaque partition blocked the focal female’s view of this  stimulus female (so that only the male could be seen, but not the pseudo-model female  interacting with him). The model, pseudo-model and focal females in a given trial were  matched for body length</t>
  </si>
  <si>
    <t>Focal females significantly reduced their time spent near the initially-preferred  male after observing the initially non-preferred male sexually interacting with a model  female compared with the control (independent t-test, t = -2.24, df = 40.2, p = 0.03, twotailed; Fig. 8). Page 37, first paragraph.</t>
  </si>
  <si>
    <t>Independent t-test comparing the result of the experimental group versus the control (experimental that changed initial preference when shown model) vs control (no model)</t>
  </si>
  <si>
    <t>df = 40.2, p = 0.03</t>
  </si>
  <si>
    <t>Change in preference score is given in Figure 8</t>
  </si>
  <si>
    <t>Data from unpublished dissertation</t>
  </si>
  <si>
    <t>g=t×√(2/n)×J; independent t=-2.24, n1=n2=24 assumed</t>
  </si>
  <si>
    <t>[converted from Hedges' D] logOR=g×π/√3; g=-0.636, Var(g)=0.0877</t>
  </si>
  <si>
    <t>es0035</t>
  </si>
  <si>
    <t>Mitchell_2025_AmericanNaturalist</t>
  </si>
  <si>
    <t>10.1086/736329</t>
  </si>
  <si>
    <t>Virgin observer female (OR, 3-7 days) exposed to a recently mated OR demonstrator female for 45 min in a Greiner Bio-One arena (35 mm). Demonstrator was mated with either M4 or M7 males (unmarked) prior to pairing. Observer then transferred to a fresh arena with one colored M4 male and one colored M7 male for mate choice (recorded copulation within 60 min). Observers were identified by absence of fluorescent mating plug before being tested.</t>
  </si>
  <si>
    <t>Fig 2A (n from bars); GLM chi2=12.1, P=0.007 (in-text p.173); binomial P=0.013 for M4-mated group</t>
  </si>
  <si>
    <t>Count data (estimated from n + binomial P)</t>
  </si>
  <si>
    <t>GLM chi2=12.1, P=0.007 (overall treatment effect); M4-mated vs no-demo: z=2.3, P=0.019; vs virgin-demo: z=2.4, P=0.015; vs M7-mated: z=3.3, P=0.001; M4-mated binomial P=0.013</t>
  </si>
  <si>
    <t>Counts estimated: n=61 (M4-mated demo), binomial P=0.013 → ~40/61 chose M4 (copied). Control n=53 (no demo), binomial P≥0.532 → ~26/53 chose M4. Shared no-demo control (n=53) also used in Exp002. Virgin demo (n=58, P≥0.532) also showed no preference, confirming mating (not just presence) drives effect.</t>
  </si>
  <si>
    <t>First evidence of chemical MCC in any species. Exp001 = M4-mated live demonstrator; A=chose M4=copied, B=chose M7=not copied. Shared no-demo control (n=53) with Exp002 creates non-independence. OR formula: A×D/B×C.</t>
  </si>
  <si>
    <t>[converted from OR] d=ln(OR)×√3/π×J; OR=1.978, Var(logOR)=0.1481, n=114, J=0.9933</t>
  </si>
  <si>
    <t>OR=(A×D)/(B×C); A=exp chose M4 (copied), B=exp chose M7, C=ctrl chose M4, D=ctrl chose M7; counts estimated from n + binomial P-values</t>
  </si>
  <si>
    <t>es0036</t>
  </si>
  <si>
    <t>Fig 2A (n from bars); binomial P=0.048 for M7-mated group (fewer chose M4 = more chose M7 = copied M7 demonstrator)</t>
  </si>
  <si>
    <t>GLM chi2=12.1, P=0.007 (overall); M7-mated vs no-demo: z&lt;1.1, P&gt;0.284 (NS direct comparison); M4-mated vs M7-mated: z=3.3, P=0.001; M7-mated binomial P=0.048 (fewer chose M4 than chance)</t>
  </si>
  <si>
    <t>Counts estimated: n=64 (M7-mated demo), binomial P=0.048 → ~25/64 chose M4 (→39 chose M7 = copied M7 demonstrator). A and B recoded so A=copied (chose M7), B=not copied (chose M4). Control: ~27/53 chose M7, ~26/53 chose M4. Shared control with Exp001.</t>
  </si>
  <si>
    <t>Exp002 = M7-mated live demonstrator; copying direction = M7. A=chose M7=copied, B=chose M4=not copied, C=control chose M7, D=control chose M4. Symmetric to Exp001 but for M7 direction. Shared no-demo control (n=53) creates non-independence with Exp001.</t>
  </si>
  <si>
    <t>[converted from OR] d=ln(OR)×√3/π×J; OR=1.5022, Var(logOR)=0.1411, n=117, J=0.9935</t>
  </si>
  <si>
    <t>OR=(A×D)/(B×C); A=exp chose M7 (copied M7 demo), B=exp chose M4, C=ctrl chose M7, D=ctrl chose M4; counts estimated from n + binomial P-values</t>
  </si>
  <si>
    <t>es0037</t>
  </si>
  <si>
    <t>Virgin observer female (OR, 3-7 days) exposed for 45 min to a Whatman filter paper disc loaded with CHC extract from 3 recently mated OR females (mated with M4 or M7 males) or from 3 virgin M4/M7 males. Extract prepared by hexane wash (150 uL, 3 min vortex) of 3 mated females or 3 virgin males. Observer then offered one colored M4 and one colored M7 male for mate choice.</t>
  </si>
  <si>
    <t>Fig 2B (n from bars); GLM chi2=4.2, P=0.041; binomial P=0.049 for M4-mated extract group</t>
  </si>
  <si>
    <t>GLM chi2=4.2, P=0.041 (M4-mated extract vs M4 male extract); M4-mated extract binomial P=0.049 (chose M4 &gt; chance); M4 male extract binomial P=0.533 (no preference)</t>
  </si>
  <si>
    <t>Counts estimated: M4-mated extract n=44, binomial P=0.049 → ~27/44 chose M4 (copied). M4 male extract n=41, P=0.533 → ~20/41 chose M4. Control here = M4 male extract (virgin males, no mating).</t>
  </si>
  <si>
    <t>Mechanism experiment: CHC extract from mated female (no live demonstrator) is sufficient for chemical MCC. A=M4-extract group chose M4=copied, B=chose M7=not copied, C=M4-male-extract chose M4, D=chose M7. Confirms chemical cues (not social interaction) mediate copying.</t>
  </si>
  <si>
    <t>[converted from OR] d=ln(OR)×√3/π×J; OR=1.6676, Var(logOR)=0.1935, n=85, J=0.991</t>
  </si>
  <si>
    <t>OR=(A×D)/(B×C); A=mated-extract group chose M4, B=chose M7, C=male-extract control chose M4, D=chose M7; counts estimated from n + binomial P-values</t>
  </si>
  <si>
    <t>es0038</t>
  </si>
  <si>
    <t>Fig 2C (n from bars); GLM chi2=4.9, P=0.027; binomial P=0.036 for M7-mated extract (fewer chose M4 = more chose M7 = copied)</t>
  </si>
  <si>
    <t>GLM chi2=4.9, P=0.027 (M7-mated extract vs M7 male extract); M7-mated extract binomial P=0.036 (chose M7 &gt; chance); M7 male extract binomial P=0.401 (no preference)</t>
  </si>
  <si>
    <t>Counts estimated: M7-mated extract n=51, binomial P=0.036 → ~19/51 chose M4 (→32 chose M7 = copied M7). M7 male extract n=66, P=0.401 → ~33/66 each. A recoded as chose M7=copied.</t>
  </si>
  <si>
    <t>Mechanism experiment (M7 direction): CHC extract from M7-mated female shifts observer preference toward M7. A=mated-extract chose M7=copied, B=chose M4=not copied, C=male-extract chose M7, D=chose M4. Symmetric to Exp003 for M7 direction.</t>
  </si>
  <si>
    <t>[converted from OR] d=ln(OR)×√3/π×J; OR=1.6842, Var(logOR)=0.1445, n=117, J=0.9935</t>
  </si>
  <si>
    <t>OR=(A×D)/(B×C); A=M7-mated-extract group chose M7, B=chose M4, C=M7-male-extract chose M7, D=chose M4; counts estimated from n + binomial P-values</t>
  </si>
  <si>
    <t>es0039</t>
  </si>
  <si>
    <t>Virgin observer female (OR, 3-7 days) exposed simultaneously to one M4-mated AND one M7-mated OR demonstrator female for 45 min (competing social information). Observer then offered one colored M4 and one colored M7 male for mate choice. Tests whether competing chemical signals from two differently mated demonstrators cancel out.</t>
  </si>
  <si>
    <t>Fig 3 (n=43 from bar); binomial P=0.542 (no preference)</t>
  </si>
  <si>
    <t>Count data (estimated from n + binomial P; 50/50 rule for C/D)</t>
  </si>
  <si>
    <t>Binomial P=0.542 (no preference for either male genotype); no separate control run for this sub-experiment</t>
  </si>
  <si>
    <t>Competing chemical signals cancel: ~21/43 chose M4, ~22/43 chose M7 (essentially 50/50). 50/50 rule applied for C/D (no separate control group). Result shows chemical MCC is direction-specific and requires a single unambiguous demonstrator signal.</t>
  </si>
  <si>
    <t>Null result: simultaneous exposure to M4-mated and M7-mated demonstrators produces no net preference. Demonstrates that chemical MCC requires a single unambiguous mated female cue. 50/50 rule for C/D since no separate control in this sub-experiment.</t>
  </si>
  <si>
    <t>[converted from OR] d=ln(OR)×√3/π×J; OR=0.9545, Var(logOR)=0.1861, n=43, J=0.982</t>
  </si>
  <si>
    <t>OR=(A×D)/(B×C); 50/50 rule: C=D=N/2=21.5; no directional copying so A=chose M4, B=chose M7</t>
  </si>
  <si>
    <t>es0040</t>
  </si>
  <si>
    <t>Moran_2013_Behaviour</t>
  </si>
  <si>
    <t>10.1163/1568539X-00003092</t>
  </si>
  <si>
    <t>Etheostoma zonale</t>
  </si>
  <si>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</si>
  <si>
    <t>Wald statistic = 10.04, p ≈ 0.002</t>
  </si>
  <si>
    <t>Wald statistic</t>
  </si>
  <si>
    <t>p ≈ 0.002</t>
  </si>
  <si>
    <t>Female E. zonale significantly increased the relative time spent in the association zone next to the male that had been visibly courted by stimulus females</t>
  </si>
  <si>
    <t>[converted from OR] d=ln(OR)×√3/π×J; OR=2.0, Var(logOR)=0.5667, n=30, J=0.9739</t>
  </si>
  <si>
    <t>OR=(A×D)/(B×C); Var(logOR)=1/A+1/B+1/C+1/D; A=10.0,B=5.0,C=7.5,D=7.5</t>
  </si>
  <si>
    <t>es0041</t>
  </si>
  <si>
    <t>Wald statistic = 6.905, p ≈ 0.009</t>
  </si>
  <si>
    <t>p ≈ 0.009</t>
  </si>
  <si>
    <t>Male E. zonale significantly increased the relative time spent in the association zone next to the female that had been visibly courted by stimulus</t>
  </si>
  <si>
    <t>es0042</t>
  </si>
  <si>
    <t>Etheostoma flabellare</t>
  </si>
  <si>
    <t>Wald statistic = 0.1845, p ≈ 0.174</t>
  </si>
  <si>
    <t>p ≈ 0.174</t>
  </si>
  <si>
    <t>Female E. flabellare did not significantly increase the relative time spent in the association zone next to the male that had been visibly courted by stimulus females</t>
  </si>
  <si>
    <t>[converted from OR] d=ln(OR)×√3/π×J; OR=0.875, Var(logOR)=0.5345, n=30, J=0.9739</t>
  </si>
  <si>
    <t>OR=(A×D)/(B×C); Var(logOR)=1/A+1/B+1/C+1/D; A=7.0,B=8.0,C=7.5,D=7.5</t>
  </si>
  <si>
    <t>es0043</t>
  </si>
  <si>
    <t>Wald statistic = 6.590, p ≈ 0.010</t>
  </si>
  <si>
    <t>p ≈ 0.010</t>
  </si>
  <si>
    <t>Male E. flabellare significantly increased the relative time spent in the association zone next to the female that had been visibly courted by stimulus males</t>
  </si>
  <si>
    <t>[converted from OR] d=ln(OR)×√3/π×J; OR=6.5, Var(logOR)=0.8436, n=30, J=0.9739</t>
  </si>
  <si>
    <t>OR=(A×D)/(B×C); Var(logOR)=1/A+1/B+1/C+1/D; A=13.0,B=2.0,C=7.5,D=7.5</t>
  </si>
  <si>
    <t>es0044</t>
  </si>
  <si>
    <t>Nöbel_2022_BehavioralEcology</t>
  </si>
  <si>
    <t>10.1093/beheco/arac071</t>
  </si>
  <si>
    <t>In the control treatment we provided both acceptance and rejection of a male during the demonstration. To be treated like the other observer females and the observer female in the control setting was alone during stage 1, and for stage 2 we introduced in the other compartment a virgin demonstrator female, plus a pink and a green male (Figure 1). The observer female could thus see the courtship and the actual choice of the demonstrator female. Trials in which the demonstrator female did not copulate within 30 min of the demonstration were discarded. After the demonstrator copulation ended demonstrator flies were removed.</t>
  </si>
  <si>
    <t>First paragraph of result section: Second sentence: binomial test, N = 65, P = 0.006</t>
  </si>
  <si>
    <t>Binomial test</t>
  </si>
  <si>
    <t>binomial test, N = 65, P = 0.006</t>
  </si>
  <si>
    <t>Control observer females that recieved both information copied the choice of the demonstrator</t>
  </si>
  <si>
    <t>Data from control trial.</t>
  </si>
  <si>
    <t>[converted from OR] d=ln(OR)×√3/π×J; OR=2.0952, Var(logOR)=0.1319, n=65, J=0.9882</t>
  </si>
  <si>
    <t>OR=(A×D)/(B×C); Var(logOR)=1/A+1/B+1/C+1/D; A=44.0,B=21.0,C=32.5,D=32.5</t>
  </si>
  <si>
    <t>es0045</t>
  </si>
  <si>
    <t>In stage 2, a male of the opposite color was presented together with a demonstrator female that recently mated (Figure 1). As recently mated D. melanogaster females actively reject courting males (Barnes et al. 2008; Kimura et al. 2015) for several days after copulation (Markow 2002), these trials provided negative information for the rejected male.</t>
  </si>
  <si>
    <t>Rejection trial results: First paragraph of result section: Fourth sentence: binomial test, N = 66, P = 0.268</t>
  </si>
  <si>
    <t>binomial test, N = 66, P = 0.268</t>
  </si>
  <si>
    <t>Rejected trial observer females that received information on male being rejected did not copy the choice of the demonstrator</t>
  </si>
  <si>
    <t>Data from rejection trial.</t>
  </si>
  <si>
    <t>[converted from OR] d=ln(OR)×√3/π×J; OR=0.7368, Var(logOR)=0.1226, n=66, J=0.9884</t>
  </si>
  <si>
    <t>OR=(A×D)/(B×C); Var(logOR)=1/A+1/B+1/C+1/D; A=28.0,B=38.0,C=33.0,D=33.0</t>
  </si>
  <si>
    <t>es0046</t>
  </si>
  <si>
    <t>In the acceptance treatment, again observer females could observe a single male in stage 1 and then in stage 2 they observed a copulation with a male of the opposite color.</t>
  </si>
  <si>
    <t>First paragraph of result section: Third sentence: binomial test, N = 65, P = 0.00005</t>
  </si>
  <si>
    <t>binomial test, N = 65, P = 0.00005</t>
  </si>
  <si>
    <t>Acceptance observer females that recieved information on mate acceptance copied the choice of the demonstrator</t>
  </si>
  <si>
    <t>Data from acceptance trial.</t>
  </si>
  <si>
    <t>[converted from OR] d=ln(OR)×√3/π×J; OR=3.0625, Var(logOR)=0.1444, n=65, J=0.9882</t>
  </si>
  <si>
    <t>OR=(A×D)/(B×C); Var(logOR)=1/A+1/B+1/C+1/D; A=49.0,B=16.0,C=32.5,D=32.5</t>
  </si>
  <si>
    <t>es0047</t>
  </si>
  <si>
    <t>Nöbel_2022_ProceedingsOfTheRoyalSocietyBBiologicalSciences</t>
  </si>
  <si>
    <t>10.1098/rspb.2022.0431</t>
  </si>
  <si>
    <t>Gambusia holbrooki</t>
  </si>
  <si>
    <t>Before-and-after MCC test. During 10-min demonstration, a stimulus female was visible next to the small male; pseudo-stimulus female hidden behind screen next to large male. SLS = MCT2 - MCT1, where MCT = tS/(tS+tL). Personality scored post-experiment via maze boldness test. Analysis restricted to shy females (n=198) at intermediate male size-ratio (10-20%).</t>
  </si>
  <si>
    <t>Results section, shy female analysis, final paragraph: the treatment effect was significant (LM: F=7.692, p=0.007)</t>
  </si>
  <si>
    <t>LM F-statistic</t>
  </si>
  <si>
    <t>p=0.007</t>
  </si>
  <si>
    <t>Treatment effect (MC treatment vs C1+C2 controls) for shy females restricted to intermediate male size-ratio (10-20%). Primary MCC evidence. Exact subset n not reported in text; shy total N=198. Supporting effects for MC-trial shy females (all size-ratios): size-ratio F=6.086 p=0.016; size-ratio2 F=4.590 p=0.035; side-bias F=8.386 p=0.005.</t>
  </si>
  <si>
    <t>MCC only detectable in shy females (n=198; 69.5% of 285) at intermediate male size-ratio (10-20%). Bold females (n=87) showed no MCC (F=1.391, p=0.255). Ignoring personality: no overall MC detected (3-way interaction F=2.930, p=0.055). Wild-caught G. holbrooki from Lake Lamartine, France (2015-2016). N=343 tested; 58 excluded for &gt;90% side-bias; final n=285.</t>
  </si>
  <si>
    <t>es0048</t>
  </si>
  <si>
    <t>Same design as Exp001. Analysis restricted to bold females (n=87; reached maze chamber 5 within 10 min in boldness test). All male size-ratios included.</t>
  </si>
  <si>
    <t>Results section, bold female analysis: treatment, LM: F=1.391, p=0.255</t>
  </si>
  <si>
    <t>p=0.255</t>
  </si>
  <si>
    <t>Treatment main effect for bold females after removing non-significant treatment x size-ratio interaction (F=2.121, p=0.127). Other effects also NS: side-bias F=0.175 p=0.677; size-ratio F=2.116 p=0.150; size-ratio2 F=1.684 p=0.198. No evidence for MCC in bold females.</t>
  </si>
  <si>
    <t>See Exp001 for full study description. Bold females defined as those reaching maze chamber 5 within 10 min; n=87 (30.5% of 285).</t>
  </si>
  <si>
    <t>es0049</t>
  </si>
  <si>
    <t>Nöbel_2022_ScientificReports</t>
  </si>
  <si>
    <t>10.1038/s41598-022-26252-5</t>
  </si>
  <si>
    <t>First, the observer female was placed in the compartment next to the image, which was covered with white cardboard at that time. For the time of the demonstration the cardboard was removed, and the observer female could watch the image. Later, the image was covered again, and two virgin males dusted in green and pink were introduced for the mate-choice test. The mate-choice test started as soon as the partition was removed, and observer females had 30 min to mate with one of the two males. We recorded the phenotype of the first and second courting male (i.e., showing wing vibrations), as well as the phenotype of the male she chose to copulate with.</t>
  </si>
  <si>
    <t>Figure 3, group "photos"</t>
  </si>
  <si>
    <t>The proportion of females that copied the choice shown in the photos</t>
  </si>
  <si>
    <t>binomial test, n = 72, p = 0.003</t>
  </si>
  <si>
    <t>Photo trials. Just the clean photo trial information from the results of Experiment 1. Can also extract data from Figure 4, on the trials that varied the length of the presentation duration</t>
  </si>
  <si>
    <t>[converted from OR] d=ln(OR)×√3/π×J; OR=2.1304, Var(logOR)=0.1194, n=72, J=0.9894</t>
  </si>
  <si>
    <t>OR=(A×D)/(B×C); Var(logOR)=1/A+1/B+1/C+1/D; A=49.0,B=23.0,C=36.0,D=36.0</t>
  </si>
  <si>
    <t>es0050</t>
  </si>
  <si>
    <t>Nöbel_2023_BehaviouralProcesses</t>
  </si>
  <si>
    <t>10.1016/j.beproc.2023.104837</t>
  </si>
  <si>
    <t>After this first mate-choice test (comprising two 10-min trials), opaque screens were inserted, and the observer female was placed back into the glass square in the middle of the large tank. One demonstrator female was placed next to each male, but only the one close to the small male was visible to the observer female while the one next to the large male was hidden by an opaque screen (thick line in Fig. 1B). Fish were given a few minutes to calm down before the opaque screens (except the one in front of the pseudo-demonstrator female next to the large male) were removed.</t>
  </si>
  <si>
    <t>Page 5, Result section, penultimate sentence of the section</t>
  </si>
  <si>
    <t>t-test comparing treatment versus control</t>
  </si>
  <si>
    <t>df = 88.281, p = 0.768</t>
  </si>
  <si>
    <t>Little evidence that females chose to copy the behavior of demonstrators</t>
  </si>
  <si>
    <t>I used the data that was combined for both lab strains, and is presented at the end of the result section and also in Figure 4.</t>
  </si>
  <si>
    <t>g from Welch t-test (t=-0.297, n_treat=65, n_ctrl=40). d=t×sqrt(1/n1+1/n2); g=d×J (df=103)</t>
  </si>
  <si>
    <t>[converted from Hedges' D] logOR=g×π/√3; g=-0.0592, Var(g)=0.0404</t>
  </si>
  <si>
    <t>es0051</t>
  </si>
  <si>
    <t>Nöbel_2023_Iscience</t>
  </si>
  <si>
    <t>10.1016/j.isci.2023.107682</t>
  </si>
  <si>
    <t>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</si>
  <si>
    <t>Figure 1, group "Controls" Wild type</t>
  </si>
  <si>
    <t>The proportion of trials where the female copied the demonstrated choice.</t>
  </si>
  <si>
    <t>N = 65, p = 0.025</t>
  </si>
  <si>
    <t>Based on Figure 1 from Nöbel (2023), here is the specific extraction for the Wild type (+/+) control group, which represents individuals with a fully functional Rutabaga protein.</t>
  </si>
  <si>
    <t>[converted from OR] d=ln(OR)×√3/π×J; OR=1.8261, Var(logOR)=0.1288, n=65, J=0.9882</t>
  </si>
  <si>
    <t>OR=(A×D)/(B×C); Var(logOR)=1/A+1/B+1/C+1/D; A=42.0,B=23.0,C=32.5,D=32.5</t>
  </si>
  <si>
    <t>es0052</t>
  </si>
  <si>
    <t>Picture of copulating flies in this trial. 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</si>
  <si>
    <t>Figure 3, group Wild type</t>
  </si>
  <si>
    <t>N = 65, p = 0.003</t>
  </si>
  <si>
    <t>Based on Figure 3 from Nöbel (2023), here is the specific extraction for the Wild type (+/+) control group, which represents individuals with a fully functional Rutabaga protein.</t>
  </si>
  <si>
    <t>Data from presentation of images/pictures of copulating flies</t>
  </si>
  <si>
    <t>[converted from OR] d=ln(OR)×√3/π×J; OR=2.25, Var(logOR)=0.1338, n=65, J=0.9882</t>
  </si>
  <si>
    <t>OR=(A×D)/(B×C); Var(logOR)=1/A+1/B+1/C+1/D; A=45.0,B=20.0,C=32.5,D=32.5</t>
  </si>
  <si>
    <t>es0053</t>
  </si>
  <si>
    <t>Nöbel_2025_BiologyLetters</t>
  </si>
  <si>
    <t>10.1098/rsbl.2025.0070</t>
  </si>
  <si>
    <t>Typically, each mate-copying experiment has two phases: a demonstration followed by a mate-choice test (figure 1). In the demonstration, a single naive, unmated demonstrator female was put with two unmated males, one of each colour, for 30 min on one side of the tubes. On the other side of the tubes, there was a naive, unmated observer female separated by the glass partition. The female demonstrators’ copulation with one of the males provided positive information for that colour and negative information for the other male phenotype. Copulation lasts approximately 20 min in D. simulans, so the observer female got enough information about the demonstrator females’ mate choice. When the copulation ended, we removed all demonstrators and immediately continued with the mate-choice test.</t>
  </si>
  <si>
    <t>Figure 2, panel A with all strains gropued</t>
  </si>
  <si>
    <t>Mate-copying index for group informed as A, B (sample sizes). Then uninformed for C, D</t>
  </si>
  <si>
    <t>N = 192, p = 0.000000001</t>
  </si>
  <si>
    <t>Based on Figure 2, Panel A from Nöbel (2025), here is the extracted data for the pooled experiments involving three strains of Drosophila simulans.</t>
  </si>
  <si>
    <t>Data from Figure 2, pooled strains</t>
  </si>
  <si>
    <t>[converted from OR] d=ln(OR)×√3/π×J; OR=3.2637, Var(logOR)=0.0472, n=381, J=0.998</t>
  </si>
  <si>
    <t>OR=(A×D)/(B×C); Var(logOR)=1/A+1/B+1/C+1/D; A=138.0,B=54.0,C=83.0,D=106.0</t>
  </si>
  <si>
    <t>es0054</t>
  </si>
  <si>
    <t>Nöbel_2025_ScientificReports</t>
  </si>
  <si>
    <t>10.1038/s41598-025-88535-x</t>
  </si>
  <si>
    <t>alpha/beta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</si>
  <si>
    <t>Figure 1, group alpha/beta neurons, white bar (control +/+)</t>
  </si>
  <si>
    <t>binomial test: n = 64, P = 0.0002, third bar Fig. 1).</t>
  </si>
  <si>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</si>
  <si>
    <t>[converted from OR] d=ln(OR)×√3/π×J; OR=2.7647, Var(logOR)=0.1426, n=64, J=0.988</t>
  </si>
  <si>
    <t>OR=(A×D)/(B×C); Var(logOR)=1/A+1/B+1/C+1/D; A=47.0,B=17.0,C=32.0,D=32.0</t>
  </si>
  <si>
    <t>es0055</t>
  </si>
  <si>
    <t>gamma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</si>
  <si>
    <t>Figure 1, group gamma neurons, white bar (control +/+)</t>
  </si>
  <si>
    <t>binomial test: n = 66, P = 0.0008; sixth bar in Fig. 1),</t>
  </si>
  <si>
    <t>[converted from OR] d=ln(OR)×√3/π×J; OR=2.6667, Var(logOR)=0.137, n=66, J=0.9884</t>
  </si>
  <si>
    <t>OR=(A×D)/(B×C); Var(logOR)=1/A+1/B+1/C+1/D; A=48.0,B=18.0,C=33.0,D=33.0</t>
  </si>
  <si>
    <t>es0056</t>
  </si>
  <si>
    <t>alpha/beta/gama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</si>
  <si>
    <t>Figure 1, group alpha/beta/gamma neurons, white bar (control +/+)</t>
  </si>
  <si>
    <t>binomial test: n = 64, P = 0.002; ninth bar in Fig. 1)</t>
  </si>
  <si>
    <t>[converted from OR] d=ln(OR)×√3/π×J; OR=2.3684, Var(logOR)=0.1374, n=64, J=0.988</t>
  </si>
  <si>
    <t>OR=(A×D)/(B×C); Var(logOR)=1/A+1/B+1/C+1/D; A=45.0,B=19.0,C=32.0,D=32.0</t>
  </si>
  <si>
    <t>es0057</t>
  </si>
  <si>
    <t>Control strain, picture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</si>
  <si>
    <t>Figure 2, white bar (control +/+)</t>
  </si>
  <si>
    <t>binomial test: n = 66, P = 0.0008; third bar in Fig. 2)</t>
  </si>
  <si>
    <t>Based on Figure 2 from Nöbel (2025), which explores the establishment of Long-Term Social Memory (LTSM) using photos while blocking protein synthesis, here is the extracted data for the Wild type (+/+) control group. This group represents individuals with fully functional Rutabaga and normal protein synthesis.</t>
  </si>
  <si>
    <t>[converted from OR] d=ln(OR)×√3/π×J; OR=2.4737, Var(logOR)=0.1345, n=66, J=0.9884</t>
  </si>
  <si>
    <t>OR=(A×D)/(B×C); Var(logOR)=1/A+1/B+1/C+1/D; A=47.0,B=19.0,C=33.0,D=33.0</t>
  </si>
  <si>
    <t>es0058</t>
  </si>
  <si>
    <t>Ophir_2009_Unknown</t>
  </si>
  <si>
    <t>10.1006/anbe.2003.2229</t>
  </si>
  <si>
    <t>Coturnix japonica</t>
  </si>
  <si>
    <t>Focal female (n=15, within-subjects) assigned to 3 counterbalanced conditions (video-mating, video-alone, live-mating). Pretest (10 min): chose between preferred and nonpreferred male. Observation (5.25 min): TFT video clip of nonpreferred target male courting and mating with a model female. Post-test (10 min): same choice. Outcome: change in time near nonpreferred male (post minus pretest). Primary comparison: video-mating vs video-alone; Bonferroni-corrected paired t test.</t>
  </si>
  <si>
    <t>Results, Exp1, post-test: Bonferroni-corrected paired t test: t14=3.16, P&lt;0.01; overall ANOVA F(2,14)=8.23, P&lt;0.01</t>
  </si>
  <si>
    <t>t-statistic</t>
  </si>
  <si>
    <t>df=14; P&lt;0.01</t>
  </si>
  <si>
    <t>Video-mating &gt; video-alone; confirms MCC via video recording. Also: video-mating = live-mating (t14=0.56, NS).</t>
  </si>
  <si>
    <t>StudyId year (2009) is a placeholder; actual paper is Animal Behaviour 2003. Species from commercial breeder, captive-bred. All birds ~52 days old at acquisition, tested ~40 days later (sexually mature). Exp1: 23 trios recruited, 8 excluded (5 approach failure, 1 egg during test, 2 noise disturbance); n=15 focal females. Exp2: same subjects, 3 further excluded; n=12.</t>
  </si>
  <si>
    <t>g=t/√n×J; one-sample t=3.16, n=15, df=14</t>
  </si>
  <si>
    <t>[converted from Hedges' D] logOR=g×π/√3; g=0.7714, Var(g)=0.0879</t>
  </si>
  <si>
    <t>es0059</t>
  </si>
  <si>
    <t>Same 15 females from Exp1; 3 further excluded (n=12). Switch condition: focal female saw TFT video of her nonpreferred target male mating, then males swapped sides before post-test. Tests whether increased preference is for the specific individual (not the location).</t>
  </si>
  <si>
    <t>Results, Exp2, post-test: switch condition, t11=3.14, P&lt;0.01</t>
  </si>
  <si>
    <t>df=11; P&lt;0.01</t>
  </si>
  <si>
    <t>MCC confirmed after males swapped sides. Preference is for the specific individual male seen mating on video, not for the location where video was shown.</t>
  </si>
  <si>
    <t>See Exp001 for full study description.</t>
  </si>
  <si>
    <t>g=t/√n×J; one-sample t=3.14, n=12, df=11</t>
  </si>
  <si>
    <t>[converted from Hedges' D] logOR=g×π/√3; g=0.8432, Var(g)=0.1157</t>
  </si>
  <si>
    <t>es0060</t>
  </si>
  <si>
    <t>Same design as Exp002. Third-male condition: focal female saw TFT video of an unfamiliar male mating (not her nonpreferred target male). Tests individual specificity of MCC.</t>
  </si>
  <si>
    <t>Results, Exp2, post-test: third-male condition, t11=0.93, NS</t>
  </si>
  <si>
    <t>df=11; NS</t>
  </si>
  <si>
    <t>No MCC when observer saw unfamiliar male mating on video. Confirms copying is individual-specific: observer must have seen her own nonpreferred target male mating.</t>
  </si>
  <si>
    <t>g=t/√n×J; one-sample t=0.93, n=12, df=11</t>
  </si>
  <si>
    <t>[converted from Hedges' D] logOR=g×π/√3; g=0.2497, Var(g)=0.0862</t>
  </si>
  <si>
    <t>es0061</t>
  </si>
  <si>
    <t>Exp1, live-mating condition. Same within-subjects design as Exp001 (n=15). During observation phase, focal female watched her nonpreferred target male court and mate live with a model female for 5.25 min. Post-test identical to Exp001. No separate pairwise t-test vs video-alone reported; overall ANOVA F(2,14)=8.23 tests all three conditions. Video-mating = live-mating (t14=0.56, NS), so live-mating &gt; video-alone by transitivity.</t>
  </si>
  <si>
    <t>Results, Exp1: overall one-way repeated-measures ANOVA F(2,14)=8.23, P&lt;0.01 (all 3 conditions); no separate pairwise t for live-mating vs video-alone reported</t>
  </si>
  <si>
    <t>F-statistic (repeated-measures ANOVA)</t>
  </si>
  <si>
    <t>df=2,14; P&lt;0.01</t>
  </si>
  <si>
    <t>Overall ANOVA significant. Live-mating = video-mating (t14=0.56, NS); video-mating &gt; video-alone (t14=3.16, P&lt;0.01); therefore live-mating &gt; video-alone by transitivity. No direct t-statistic for this specific comparison.</t>
  </si>
  <si>
    <t>See Exp001 for full study description. F-statistic is from the overall ANOVA, not a pairwise test.</t>
  </si>
  <si>
    <t>es0062</t>
  </si>
  <si>
    <t>Plath_2008_CurrentBiology</t>
  </si>
  <si>
    <t>10.1016/j.cub.2008.06.067</t>
  </si>
  <si>
    <t>Live male</t>
  </si>
  <si>
    <t>Focal males (n=18, audience condition) chose between a large (preferred) and small (non-preferred) female. Part 1 (5 min): baseline preference established without audience (most approached large female first). Part 2 (5 min): rival male confined in clear Plexiglas cylinder introduced. Outcome: first female approached by focal male. Binomial test vs 50/50. Control condition (n=18): Part 2 repeated without audience; preferences remained unchanged.</t>
  </si>
  <si>
    <t>Results: "16 out of 18 males directed their first sexual behavior toward the small female in the presence of a competitor"; binomial test</t>
  </si>
  <si>
    <t>Binomial proportion</t>
  </si>
  <si>
    <t>binomial test; n=18; p=0.0013</t>
  </si>
  <si>
    <t>16/18 focal males first approached non-preferred (small) female when rival present. Control first-interaction counts not explicitly stated; paper states preferences "essentially unchanged" in control. OR estimated using 50/50 rule (C=D=9). If control symmetric (~2/18 chose non-preferred), OR~64; 50/50 gives conservative OR=8.0.</t>
  </si>
  <si>
    <t>HARKing case: paper frames behavior as male deception of rivals, but the data document socially-mediated mate choice change. Focal subject is MALE (not female). Audience male (confined in Plexiglas cylinder) does not make a free choice; audience male behavior not measured. OR calculated using 50/50 rule since control first-interaction counts not reported in text. Species origin: Captivity (lab descendants from wild P. mexicana, coastal lagoon near Tampico, Mexico). Model male place in central position in the tank, not associated with a particular female.</t>
  </si>
  <si>
    <t>[converted from OR] d=ln(OR)×√3/π×J; OR=8.0, Var(logOR)=0.7847, n=36, J=0.9784</t>
  </si>
  <si>
    <t>50/50 rule applied to control condition (counts not in text)</t>
  </si>
  <si>
    <t>es0063</t>
  </si>
  <si>
    <t>Both experiments combined (Exp1: large vs small conspecific female; Exp2: conspecific vs heterospecific P. formosa female). Preference score = % sexual behaviors directed toward preferred female in Part 1 minus Part 2 (positive score = decreased preference for preferred female). GLM with treatment (audience vs no-audience) and experiment as between-subjects factors. Interaction experiment x treatment NS (F=0.347, p=0.558), indicating similar audience effect in both experiments.</t>
  </si>
  <si>
    <t>Results, GLM: treatment factor F(1,68)=65.020, p&lt;0.0001; audience condition: -23.7%±2.0% preference change; control: -0.3%±2.0%</t>
  </si>
  <si>
    <t>F-statistic (GLM)</t>
  </si>
  <si>
    <t>df=1,68; p&lt;0.0001</t>
  </si>
  <si>
    <t>Treatment effect: audience presence significantly suppressed focal male preference for preferred female. Audience: mean preference decrease of 23.7%; control: 0.3% (unchanged). Experiment x treatment interaction NS (p=0.558): effect consistent across Exp1 and Exp2.</t>
  </si>
  <si>
    <t>See Exp001 for full study description. F-statistic is from overall GLM; not a pairwise comparison.</t>
  </si>
  <si>
    <t>es0064</t>
  </si>
  <si>
    <t>Plath_2009_BehavioralEcologyAndSociobiology</t>
  </si>
  <si>
    <t>10.1007/s00265-008-0672-7</t>
  </si>
  <si>
    <t>Audience effect alters male (not female) preferences. Not MCC. Model female place in central position of tank, not associated with particular male.</t>
  </si>
  <si>
    <t>es0065</t>
  </si>
  <si>
    <t>Pusiak_2020_AnimalBehaviour</t>
  </si>
  <si>
    <t>10.1016/j.anbehav.2020.02.008</t>
  </si>
  <si>
    <t>"Focal observer males were simultaneously presented with a large and a small female as potential mates. In Preference test 1 (20 min), baseline preference was measured without social information. During the viewing period (20 min), a model male was placed in a clear Plexiglas cylinder adjacent to the initially nonpreferred female, and a pseudo-model female was placed (hidden from the focal male) near the other male to control for differential activity. In Preference test 2 (20 min), the model was removed and the focal male's preference was remeasured. Three experimental treatments varied observer-model relative phenotype (matched, model larger/more colourful, model smaller/less colourful). The control had no model male."</t>
  </si>
  <si>
    <t>Figure 2c, page 7. Proportion of focal males reversing initial preference in each treatment. Supplemented by in-text G-test and paired t-test p-values.</t>
  </si>
  <si>
    <t>Count data of males reversing vs not reversing initial preference (approximate from Figure 2c)</t>
  </si>
  <si>
    <t>Paired t-tests within treatments: T2 P=0.002, T3 P&lt;0.0002, T4 P&lt;0.0001, Control P=0.135. G-test across treatments: Gadj,3=7.82, P&lt;0.05. Linear model on difference scores: F3,150=3.602, P=0.015. Between experimental treatments: all P&gt;0.65.</t>
  </si>
  <si>
    <t>Three experimental treatments (matched, model larger, model smaller; N=40 each) pooled into one experimental group (N=120) vs control (N=40). No difference in copying strength between experimental treatments. Reversal counts approximate from Figure 2c.</t>
  </si>
  <si>
    <t>Data pooled across 3 experimental treatments that did not differ from each other (all P&gt;0.65). All 3 experimental treatments showed significant copying vs control. Reversal counts are approximate from Figure 2c since exact counts are not reported in text. Raw data available at Mendeley Data (doi:10.17632/t2d7h3jsmc.1).</t>
  </si>
  <si>
    <t>[converted from OR] d=ln(OR)×√3/π×J; OR=2.4663, Var(logOR)=0.1588, n=160, J=0.9953</t>
  </si>
  <si>
    <t>OR=(A×D)/(B×C); Var(logOR)=1/A+1/B+1/C+1/D; A=58.0,B=62.0,C=11.0,D=29.0</t>
  </si>
  <si>
    <t>es0066</t>
  </si>
  <si>
    <t>Schütz_2000_JournalOfFishBiology</t>
  </si>
  <si>
    <t>10.1111/j.1095-8649.2000.tb00485.x</t>
  </si>
  <si>
    <t>Lamprologus callipterus</t>
  </si>
  <si>
    <t>Wild</t>
  </si>
  <si>
    <t>Exclude. Not the study design necessary</t>
  </si>
  <si>
    <t>es0067</t>
  </si>
  <si>
    <t>Silva_2014_UniversidadeLisboa</t>
  </si>
  <si>
    <t>Drosophila subobscura</t>
  </si>
  <si>
    <t>PT females observed demonstrator female in "+" (positive) treatment; pre vs post change in preference for own-population (PT) males coded (Gen 6)</t>
  </si>
  <si>
    <t>Fig 2B; GLMM (LRT) before vs after "+" treatment Gen 6; p&lt;0.001</t>
  </si>
  <si>
    <t>GLMM p-value (LRT)</t>
  </si>
  <si>
    <t>p&lt;0.001</t>
  </si>
  <si>
    <t>Gen 6; pre-demo ~80% prefer PT (C=72/90); post-demo ~50% prefer PT (A=45/90)</t>
  </si>
  <si>
    <t>PT females significantly decreased preference for PT males after "+" treatment at Gen 6 (avoidance). Counts approximated: pre 80%x90=72; post 50%x90=45.</t>
  </si>
  <si>
    <t>Counts approximated from percentages x n=90/treatment; exact counts in appendix tables S1-S10; mating step did not reflect MCC (p=0.51 Gen6; p=0.41 Gen10); no DOI (master's dissertation)</t>
  </si>
  <si>
    <t>[converted from OR] d=ln(OR)×√3/π×J; OR=0.25, Var(logOR)=0.1139, n=180, J=0.9958</t>
  </si>
  <si>
    <t>OR = (A*D)/(B*C); A/B = post-demo counts; C/D = pre-demo counts approximated from reported percentages x n=90</t>
  </si>
  <si>
    <t>es0068</t>
  </si>
  <si>
    <t>PT females observed demonstrator female in "+" treatment; pre vs post change in preference for own-population (PT) males coded (Gen 10)</t>
  </si>
  <si>
    <t>Fig 5B; GLMM (LRT) before vs after "+" treatment Gen 10; p=0.002</t>
  </si>
  <si>
    <t>p=0.002</t>
  </si>
  <si>
    <t>Gen 10; pre-demo ~81% prefer TA (PT preference ~19%; C=17/90); post-demo ~50% prefer PT (A=45/90)</t>
  </si>
  <si>
    <t>PT females significantly increased preference for PT males after "+" treatment at Gen 10 (MCC). Counts approximated: pre 19%x90=17; post 50%x90=45.</t>
  </si>
  <si>
    <t>[converted from OR] d=ln(OR)×√3/π×J; OR=4.2941, Var(logOR)=0.117, n=180, J=0.9958</t>
  </si>
  <si>
    <t>es0069</t>
  </si>
  <si>
    <t>NL females observed demonstrator female in "+" treatment; pre vs post change in preference for own-population (NL) males coded (Gen 6)</t>
  </si>
  <si>
    <t>Text; GLMM treatment effect Gen 6 NL females; p=0.48</t>
  </si>
  <si>
    <t>p=0.48</t>
  </si>
  <si>
    <t>Gen 6 NL; no significant before-after change (~76% assortative before and after)</t>
  </si>
  <si>
    <t>NL females did not show MCC at Gen 6 (GLMM p=0.48). Pre and post preference maintained (~76% assortative). Counts approximated: 76%x90=68.</t>
  </si>
  <si>
    <t>[converted from OR] d=ln(OR)×√3/π×J; OR=1.0, Var(logOR)=0.1203, n=180, J=0.9958</t>
  </si>
  <si>
    <t>es0070</t>
  </si>
  <si>
    <t>NL females observed demonstrator female in "+" treatment; pre vs post change in preference for own-population (NL) males coded (Gen 10)</t>
  </si>
  <si>
    <t>Text; GLMM treatment effect Gen 10 NL females; p=0.9294</t>
  </si>
  <si>
    <t>p=0.9294</t>
  </si>
  <si>
    <t>Gen 10 NL; no significant before-after change (~73% assortative before and after)</t>
  </si>
  <si>
    <t>NL females did not show MCC at Gen 10 (GLMM p=0.9294). Pre and post preference maintained (~73% assortative). Counts approximated: 73%x90=66.</t>
  </si>
  <si>
    <t>[converted from OR] d=ln(OR)×√3/π×J; OR=1.0, Var(logOR)=0.1136, n=180, J=0.9958</t>
  </si>
  <si>
    <t>es0071</t>
  </si>
  <si>
    <t>Witte_2018_Biology</t>
  </si>
  <si>
    <t>10.3390/biology7030040</t>
  </si>
  <si>
    <t>Audience male (N=20) watched focal male's altered mate choice from Plexiglas cylinder (Phase 2, audience effect), then made own choice in Phase 3. Single mate-choice test (Day 1) = pre-test. Stimulus: two females differing in body length ~5mm. Focal and audience males matched for body length and initial preference (both preferred larger female).</t>
  </si>
  <si>
    <t>Results 3.2, p.8-9; Fig 2a, Table S3; Wilcoxon matched-pairs (single test vs Phase 3): N=20, V=158, p=0.048</t>
  </si>
  <si>
    <t>Wilcoxon V (matched-pairs)</t>
  </si>
  <si>
    <t>V=158</t>
  </si>
  <si>
    <t>N=20; p=0.048; single test (Day 1): 17/20 prefer large female; Phase 3: 13/20 prefer large female</t>
  </si>
  <si>
    <t>Audience males significantly decreased preference for large female (copied focal's audience-effect shift toward non-preferred small female). Phase 3 absolute preference NS (V=115, p=0.729). Focal males: Phase 1 17/20 prefer large → Phase 2 11/20 prefer large (audience effect, V=195, p&lt;0.001).</t>
  </si>
  <si>
    <t>Deception hypothesis test: audience copied focal's PRETENDED (not real) mate preference. Focal and audience matched for body length and initial preference. C/D from actual Day-1 single mate-choice test counts (not 50/50); D=3 yields high Var. LM audience fish: treatment NS (p=0.686).</t>
  </si>
  <si>
    <t>[converted from OR] d=ln(OR)×√3/π×J; OR=0.3277, Var(logOR)=0.6119, n=20, J=0.96</t>
  </si>
  <si>
    <t>OR=(A*D)/(B*C); A/B=Phase 3 counts (large/small preferred); C/D=single mate-choice test (Day 1) actual counts</t>
  </si>
  <si>
    <t>es0072</t>
  </si>
  <si>
    <t>Audience female (N=20) watched focal female's altered mate choice from Plexiglas cylinder (Phase 2, audience effect), then made own choice in Phase 3. Single mate-choice test (Day 1) = pre-test. Stimulus: two males differing in body length ~5mm. Focal and audience females matched for body length and initial preference.</t>
  </si>
  <si>
    <t>Results 3.3, p.10-12; Fig 3a, Table S4; Wilcoxon matched-pairs (single test vs Phase 3): N=20, V=166, p=0.022</t>
  </si>
  <si>
    <t>V=166</t>
  </si>
  <si>
    <t>N=20; p=0.022; single test (Day 1): 13/20 prefer large male; Phase 3: 16/20 prefer large male (BUT association time with preferred decreased)</t>
  </si>
  <si>
    <t>Audience females significantly decreased time with initially-preferred male (Wilcoxon V=166, p=0.022) yet 16/20 preferred large in Phase 3 vs 13/20 before — count-vs-time paradox. Likely: the 7/20 initially preferring small shifted to large (net count +3) while 13 large-preferrers reduced time. Phase 3 absolute preference NS (V=131, p=0.153). Focal females: audience effect trend only (V=154, p=0.07; LM p=0.046). LM audience fish: treatment NS (p=0.686).</t>
  </si>
  <si>
    <t>Same design as Exp001 (female observers). Count-based OR&gt;1 contradicts time-based Wilcoxon decrease; counts unreliable as effect direction indicator here. C/D from actual Day-1 single mate-choice test counts.</t>
  </si>
  <si>
    <t>[converted from OR] d=ln(OR)×√3/π×J; OR=2.1538, Var(logOR)=0.5323, n=20, J=0.96</t>
  </si>
  <si>
    <t>es0073</t>
  </si>
  <si>
    <t>Yang_2025_JournalOfAnimalEcology</t>
  </si>
  <si>
    <t>10.1111/1365-2656.14043</t>
  </si>
  <si>
    <t>Social learning of mating tactics (courtship plasticity), not copying of mate choice.</t>
  </si>
  <si>
    <t>es0074</t>
  </si>
  <si>
    <t>Ziege_2009_FrontiersInZoology</t>
  </si>
  <si>
    <t>10.1186/1742-9994-6-17</t>
  </si>
  <si>
    <t>Ziege 2009 is an audience effect study (focal male concealing preference to prevent rival copying), not a standard MCC test where the audience copies</t>
  </si>
  <si>
    <t>es0075</t>
  </si>
  <si>
    <t>Ziege_2012_CurrentZoology</t>
  </si>
  <si>
    <t>10.1093/czoolo/58.1.84</t>
  </si>
  <si>
    <t>Focal male (full-contact) made mate choice in Part 2 after rival male interacted sexually with NON-PREFERRED (small) female during habituation. Treatment 5 = specific sperm competition risk for non-preferred female. Compared to Treatment 1 (empty cylinder, no rival, n=30).</t>
  </si>
  <si>
    <t>Table 1c, p.90; Results text p.89-90; Table 2b GLM (nipping treatment effect F4,286=1.639, p=0.164 NS)</t>
  </si>
  <si>
    <t>Continuous means (SE)</t>
  </si>
  <si>
    <t>Nipping to large: Tr5=26±6 SE; Tr1=16±2 SE; n=29 vs n=30</t>
  </si>
  <si>
    <t>Within-Tr5 paired t (large vs small): t28=3.71, p&lt;0.001 — focal strongly preferred large. Nipping GLM treatment NS (p=0.164); Tr5 vs Tr1 NS in post-hoc. Positive g: Tr5 nipped MORE toward large than Tr1 control — no MCC detected.</t>
  </si>
  <si>
    <t>Treatment 5 (rival male with NON-PREFERRED small female). Focal did NOT copy rival's choice of small female; preference for large maintained/strengthened. Positive g is opposite direction from MCC. Rival active: mean 24±7 nips and 11±4 thrusts toward small female. See Exp001 for full study description.</t>
  </si>
  <si>
    <t>Hedges' g = (m_Tr5 - m_Tr1)/SD_pooled * J; SE converted to SD via SD=SE*sqrt(n); n_Tr5=29, n_Tr1=30</t>
  </si>
  <si>
    <t>[converted from Hedges' D] logOR=g×π/√3; g=0.4119, Var(g)=0.0693</t>
  </si>
  <si>
    <t>es0076</t>
  </si>
  <si>
    <t>Table 1b, p.90; Results text p.89-90; Table 2a GLM (thrusting treatment effect F4,286=2.780, p=0.027)</t>
  </si>
  <si>
    <t>Thrusting to large: Tr5=10±2 SE; Tr1=8±2 SE; n=29 vs n=30</t>
  </si>
  <si>
    <t>Within-Tr5 paired t (large vs small): t28=3.46, p=0.002 — preference for large maintained. Thrusting GLM p=0.027; post-hoc: Tr2 vs Tr5 p=0.020 (Tr2 had strongest audience effect); Tr5 vs Tr1 NS. Focal maintained preference for large; no shift toward rival's chosen small female.</t>
  </si>
  <si>
    <t>[converted from Hedges' D] logOR=g×π/√3; g=0.1817, Var(g)=0.0681</t>
  </si>
  <si>
    <t>COUNTA of identifierStudyId</t>
  </si>
  <si>
    <t>COUNTUNIQUE of identifierStudyId</t>
  </si>
  <si>
    <t>Grand Total</t>
  </si>
  <si>
    <t>Drosophila simulans</t>
  </si>
  <si>
    <t>Danio rerio</t>
  </si>
  <si>
    <t>Brachyrhaphis rhabdophora</t>
  </si>
  <si>
    <t>Study ID</t>
  </si>
  <si>
    <t>Species</t>
  </si>
  <si>
    <t>Lab Identifier</t>
  </si>
  <si>
    <t>Complexity Tier</t>
  </si>
  <si>
    <t>Reasoning for Tier</t>
  </si>
  <si>
    <t>ES Calculation Method</t>
  </si>
  <si>
    <t>EdValidationOfComplexity</t>
  </si>
  <si>
    <t>EdsNotes</t>
  </si>
  <si>
    <t>Belkina_KoltzovInstitute_Moscow</t>
  </si>
  <si>
    <t>Tier 1</t>
  </si>
  <si>
    <t>Raw counts of mating results are provided directly in Table 1 for a simple two-choice design.</t>
  </si>
  <si>
    <t>Odds Ratio (using counts)</t>
  </si>
  <si>
    <t>Correct</t>
  </si>
  <si>
    <t>Study provides raw count data in table</t>
  </si>
  <si>
    <t>Harrison-Weiss_2024_Unknown</t>
  </si>
  <si>
    <t>Balshine_McMasterUniversity_Hamilton</t>
  </si>
  <si>
    <t>Raw counts of choices are provided directly in the text (e.g., 12 of 24 females).</t>
  </si>
  <si>
    <t>Counts / Proportions</t>
  </si>
  <si>
    <t>Study provides raw count data in text on page 30</t>
  </si>
  <si>
    <t>Plath_UniversityOfPotsdam_Potsdam</t>
  </si>
  <si>
    <t>Raw means and standard errors are explicitly provided in Table 1 for association times.</t>
  </si>
  <si>
    <t>Mean and SE</t>
  </si>
  <si>
    <t>Data provide in Table 1 as association times, actual copulation for all treatments</t>
  </si>
  <si>
    <t>Raw choice counts available for exact binomial tests evaluating a simple two-choice design.</t>
  </si>
  <si>
    <t>Data provided in text on page 5 with count and binomial test</t>
  </si>
  <si>
    <t>Kohlmeier_UniversityOfMemphis_Memphis</t>
  </si>
  <si>
    <t>Simple two-choice design with raw proportions and exact sample sizes labeled directly inside bars in Figure 2.</t>
  </si>
  <si>
    <t>Proportion and N</t>
  </si>
  <si>
    <t>Data is provided in Figure 2 as count data and the proportions in page 174</t>
  </si>
  <si>
    <t>Huckvale_2016_Unknown</t>
  </si>
  <si>
    <t>Unknown_UniversityOfExeter_Exeter</t>
  </si>
  <si>
    <t>Tables 4 &amp; 5 provide exact counts (successes/total) and means directly.</t>
  </si>
  <si>
    <t>Raw counts and means</t>
  </si>
  <si>
    <t>Data is provided in Table 5 as mean time spent in a zone, and also inferential statistics</t>
  </si>
  <si>
    <t>MacLaren_MerrimackCollege_NorthAndover</t>
  </si>
  <si>
    <t>Tier 2</t>
  </si>
  <si>
    <t>Before-and-after design with means and standard errors provided in text/graphs.</t>
  </si>
  <si>
    <t>Mean, SE, and sample size</t>
  </si>
  <si>
    <t>I would probably classify it as Tier 1, information is means and SDs and inferential, present in text on page 583</t>
  </si>
  <si>
    <t>Galef_McMasterUniversity_Hamilton</t>
  </si>
  <si>
    <t>Before-and-after design presenting means and standard errors alongside Student's t-tests.</t>
  </si>
  <si>
    <t>Simple bar graphs/text providing Mean and SE for a before-and-after association design.</t>
  </si>
  <si>
    <t>Godin_CarletonUniversity_Ottawa</t>
  </si>
  <si>
    <t>Before-and-after design utilizing Means and SEs clearly labeled in text and figures.</t>
  </si>
  <si>
    <t>Taborsky_AustrianAcademyOfSciences_Vienna</t>
  </si>
  <si>
    <t>Tier 3</t>
  </si>
  <si>
    <t>Only non-parametric inferential statistics (z-values and p-values) are provided in the text.</t>
  </si>
  <si>
    <t>z-value and sample size (n)</t>
  </si>
  <si>
    <t>Easy to extract, but inferential statistics in text, page 1260</t>
  </si>
  <si>
    <t>Taeniopygia guttata</t>
  </si>
  <si>
    <t>Witte_UniversityOfSiegen_Siegen</t>
  </si>
  <si>
    <t>Data reported primarily as inferential stats (t-values and degrees of freedom) for paired comparisons.</t>
  </si>
  <si>
    <t>t-value and df</t>
  </si>
  <si>
    <t>Roussigné_UniversiteDeToulouse_Toulouse</t>
  </si>
  <si>
    <t>Only inferential statistics (LM F-values and p-values) are provided in the text.</t>
  </si>
  <si>
    <t>F-value and df</t>
  </si>
  <si>
    <t>Poecilia mexicana, Poecilia formosa</t>
  </si>
  <si>
    <t>Results reported purely as GLM inferential statistics in the text.</t>
  </si>
  <si>
    <t>F-value and p-value</t>
  </si>
  <si>
    <t>Kavaliers_UniversityOfWesternOntario_London</t>
  </si>
  <si>
    <t>Effect sizes require conversion from repeated measures ANOVA F-values and t-values in text.</t>
  </si>
  <si>
    <t>F-value / t-value and df</t>
  </si>
  <si>
    <t>Only inferential statistics (repeated measures GLM F-values) are provided in Table 2.</t>
  </si>
  <si>
    <t>Isabel_UniversiteDeToulouse_Toulouse</t>
  </si>
  <si>
    <t>Relies on GLMM binary logistic regression statistics (Wald chi-square).</t>
  </si>
  <si>
    <t>Chi-square and p-value</t>
  </si>
  <si>
    <t>Only inferential statistics (rmGLM F-values) provided in tables/text.</t>
  </si>
  <si>
    <t>Exact t-values and degrees of freedom strictly provided in Table 1.</t>
  </si>
  <si>
    <t>Marcos_2019_Unknown</t>
  </si>
  <si>
    <t>Oliveira_InstitutoGulbenkianDeCiencia_Oeiras</t>
  </si>
  <si>
    <t>Only inferential statistics (Chi-square and p-values) provided in text.</t>
  </si>
  <si>
    <t>Chi-square, N, and p-value</t>
  </si>
  <si>
    <t>Clemente_2012_Unknown</t>
  </si>
  <si>
    <t>Unknown_UniversidadeDeLisboa_Lisbon</t>
  </si>
  <si>
    <t>Results strictly reported using inferential stats (GLM MS, F, and Wald stats) in appendix tables.</t>
  </si>
  <si>
    <t>F-value / Wald statistic</t>
  </si>
  <si>
    <t>Gordon_WashingtonUniversity_StLouis</t>
  </si>
  <si>
    <t>Highly complex models (LMMs, GLMMs) reporting inferential statistics; requires conversion to ES.</t>
  </si>
  <si>
    <t>Standardized coefficients / z-values</t>
  </si>
  <si>
    <t>Miller_2013_Unknown</t>
  </si>
  <si>
    <t>Data reported as correlation matrices; requires conversion of Pearson's r to standard effect size.</t>
  </si>
  <si>
    <t>Pearson's r</t>
  </si>
  <si>
    <t>Nöbel_MartinLutherUniversity_Halle</t>
  </si>
  <si>
    <t>Inferential statistics (binomial p-values and GLMM chi-square) provided in text.</t>
  </si>
  <si>
    <t>Silva_2014_Unknown</t>
  </si>
  <si>
    <t>Only inferential statistics (z-values and p-values) provided in appendix tables.</t>
  </si>
  <si>
    <t>z-value and p-value</t>
  </si>
  <si>
    <t>Johnson_BrighamYoungUniversity_Provo</t>
  </si>
  <si>
    <t>Only inferential statistics ($\chi^2$ and p-values) provided in Table 1.</t>
  </si>
  <si>
    <t>$\chi^2$ and p-value</t>
  </si>
  <si>
    <t>Results reported strictly as binomial test statistics and GLMM Wald $\chi^2$ values.</t>
  </si>
  <si>
    <t>Relies on non-parametric inferential stats (Mann-Whitney U) in text and quartiles in appendix.</t>
  </si>
  <si>
    <t>U-value and p-value</t>
  </si>
  <si>
    <t>Peromyscus maniculatus</t>
  </si>
  <si>
    <t>Only inferential statistics provided in text ($F$ and $t$ values).</t>
  </si>
  <si>
    <t>Karino_Unknown_Japan</t>
  </si>
  <si>
    <t>Only inferential statistics (Wilcoxon and $t$-values) provided in text.</t>
  </si>
  <si>
    <t>t-value and p-value</t>
  </si>
  <si>
    <t>Danchin_UniversiteDeToulouse_Toulouse</t>
  </si>
  <si>
    <t>Results provided as inferential statistics (LM F-values and p-values) in the text.</t>
  </si>
  <si>
    <t>Rodríguez_UniversityOfWisconsin_Milwaukee</t>
  </si>
  <si>
    <t>Tier 4</t>
  </si>
  <si>
    <t>Data on female responses requires digitization from Figure 5.</t>
  </si>
  <si>
    <t>Count of responses (from graph)</t>
  </si>
  <si>
    <t>Same data extraction note as Losia and I made, that data is in Figure 5 but requires digitalization</t>
  </si>
  <si>
    <t>Proportions and intervals require digitization/back-calculation from bar charts (Figures 1-4).</t>
  </si>
  <si>
    <t>Proportion and sample size (n)</t>
  </si>
  <si>
    <t>Data presented as boxplots (medians/quartiles) in figures without exact means/SDs in text, requiring digitization.</t>
  </si>
  <si>
    <t>Median and quartiles (from graph)</t>
  </si>
  <si>
    <t>Etheostoma zonale, Etheostoma flabellare</t>
  </si>
  <si>
    <t>King_NorthernIllinoisUniversity_DeKalb</t>
  </si>
  <si>
    <t>Data presented as individual trajectory lines without summary stats; requires digitization of pre/post coordinates.</t>
  </si>
  <si>
    <t>Digitization of coordinates from Figure 4</t>
  </si>
  <si>
    <t>Data requires digitization from bar charts (or back-calculation from given N and non-significant p-values).</t>
  </si>
  <si>
    <t>Proportions extracted from figures</t>
  </si>
  <si>
    <t>Data requires digitization from bar heights and Agresti-Coull intervals in Figure 2.</t>
  </si>
  <si>
    <t>effectSizeCalculatedType</t>
  </si>
  <si>
    <t>effectSizeHowCalculated</t>
  </si>
  <si>
    <t>effectSizeCalculatedEstimate</t>
  </si>
  <si>
    <t>effectSizeCalculatedVariance</t>
  </si>
  <si>
    <t>ML</t>
  </si>
  <si>
    <t>Virgin</t>
  </si>
  <si>
    <t>Table1</t>
  </si>
  <si>
    <t>Count data by decision and group</t>
  </si>
  <si>
    <t xml:space="preserve"> inferential test on page 178</t>
  </si>
  <si>
    <t>Odds Ratio</t>
  </si>
  <si>
    <t>Manipulated</t>
  </si>
  <si>
    <t>Signal response (sound)</t>
  </si>
  <si>
    <t>"air formation occurs through maleefemale signal duets", used synthtic test signals</t>
  </si>
  <si>
    <t>Figure5</t>
  </si>
  <si>
    <t>Count of number of responses</t>
  </si>
  <si>
    <t>data needs to be extracted from the figure, and there are 3 different conditions. Its count of responses not count of individuals that copied mate choice, so different type of data than standard one</t>
  </si>
  <si>
    <t>Trial ID</t>
  </si>
  <si>
    <t>Response Metric</t>
  </si>
  <si>
    <t>Validated Exp Group Data</t>
  </si>
  <si>
    <t>Validated Control Group Data</t>
  </si>
  <si>
    <t>SD or SE?</t>
  </si>
  <si>
    <t>Agent 1 Initial Pull</t>
  </si>
  <si>
    <t>Agent 2 Verification Notes</t>
  </si>
  <si>
    <t>Verification Location</t>
  </si>
  <si>
    <t>Main Treatment</t>
  </si>
  <si>
    <t>Proportion copying</t>
  </si>
  <si>
    <t>GLMM P = 0.026 (vs C1), P = 0.025 (vs C2)</t>
  </si>
  <si>
    <t>C1: N = 74, C2: N = 67</t>
  </si>
  <si>
    <t>Pulled proportions and GLMM P-values.</t>
  </si>
  <si>
    <t>A) NA (Binary). B) Independent cohorts. C) No missing trials found.</t>
  </si>
  <si>
    <t>Fig 3, Page 4</t>
  </si>
  <si>
    <t>Training Treatment</t>
  </si>
  <si>
    <t>Copulations matching demo</t>
  </si>
  <si>
    <t>107 matched, 110 mismatched (N = 217)</t>
  </si>
  <si>
    <t>75 matched, 76 mismatched (N = 151)</t>
  </si>
  <si>
    <t>Extracted raw successes but missed total N.</t>
  </si>
  <si>
    <t>A) NA (Binary). B) Independent cohorts. C) No missing trials found. Added exact Ns.</t>
  </si>
  <si>
    <t>Table 1, Page 178</t>
  </si>
  <si>
    <t>Chen_2021_Unknown</t>
  </si>
  <si>
    <t>N/A</t>
  </si>
  <si>
    <t>Excerpt contains only bibliography. No primary data.</t>
  </si>
  <si>
    <t>Reference list</t>
  </si>
  <si>
    <t>Female response treatments</t>
  </si>
  <si>
    <t>Peak preference</t>
  </si>
  <si>
    <t>F = 2.095, df = 2, P = 0.127</t>
  </si>
  <si>
    <t>Extracted main effect of signal.</t>
  </si>
  <si>
    <t>A) NA. B) Independent. C) Missing trials added: Repeatability of peak preference (F=2.053).</t>
  </si>
  <si>
    <t>Table 2 &amp; 3, Page 144</t>
  </si>
  <si>
    <t>Treatments 1-5</t>
  </si>
  <si>
    <t>Preference score</t>
  </si>
  <si>
    <t>F = 2.888, df = 4, P = 0.025</t>
  </si>
  <si>
    <t>N = 30 (Control)</t>
  </si>
  <si>
    <t>SE</t>
  </si>
  <si>
    <t>Extracted ANOVA F-value.</t>
  </si>
  <si>
    <t>A) Confirmed SE. B) Independent cohorts. C) No missing trials found.</t>
  </si>
  <si>
    <t>Text Page 6, Table 1</t>
  </si>
  <si>
    <t>Experiment 1</t>
  </si>
  <si>
    <t>R/Total Time</t>
  </si>
  <si>
    <t>Tukey HSD P = 0.0056 (F+M vs F alone)</t>
  </si>
  <si>
    <t>N = 89</t>
  </si>
  <si>
    <t>Extracted Exp 1 only.</t>
  </si>
  <si>
    <t>A) Confirmed SE. B) Independent. C) Added Experiment 2 (Logistic reg Wald-Stat=0.888, P=0.345).</t>
  </si>
  <si>
    <t>Table 3 &amp; 13, Pgs 21-25</t>
  </si>
  <si>
    <t>Cruz_2014_Unknown</t>
  </si>
  <si>
    <t>Audience Trial</t>
  </si>
  <si>
    <t>Time spent chasing (s)</t>
  </si>
  <si>
    <t>309.00 ± 36.79 (N = 42)</t>
  </si>
  <si>
    <t>Extracted F=7.388 for chasing.</t>
  </si>
  <si>
    <t>A) Confirmed SE. B) Independent. C) Added Bystander trials (Fig 2.5).</t>
  </si>
  <si>
    <t>Results Text, Page 44</t>
  </si>
  <si>
    <t>Social Treatment</t>
  </si>
  <si>
    <t>Proportion time spent</t>
  </si>
  <si>
    <t>N = 23</t>
  </si>
  <si>
    <t>N = 12</t>
  </si>
  <si>
    <t>SD</t>
  </si>
  <si>
    <t>Extracted Beta reg χ² = 0.51, P = 0.473.</t>
  </si>
  <si>
    <t>A) Confirmed SD. B) Independent. C) Missing trial added: Repeatability trial (ICC R=0.48).</t>
  </si>
  <si>
    <t>Table 1 &amp; Fig 4</t>
  </si>
  <si>
    <t>Durey_2008_Unknown</t>
  </si>
  <si>
    <t>Conference abstract list. No primary data.</t>
  </si>
  <si>
    <t>Gilman_2020_CurrentZoology</t>
  </si>
  <si>
    <t>Review/References only. No primary data.</t>
  </si>
  <si>
    <t>Exp 1, 2, 3 (Female)</t>
  </si>
  <si>
    <t>Proportion choosing larger</t>
  </si>
  <si>
    <t>Exp 3: 25 out of 45</t>
  </si>
  <si>
    <t>N = 24, N = 25</t>
  </si>
  <si>
    <t>Extracted female data only.</t>
  </si>
  <si>
    <t>A) NA (Binary). B) Independent. C) Missing trials added: Sneaker Exps 1-3 (Repeated measures).</t>
  </si>
  <si>
    <t>Fig 2.5 &amp; 3.3</t>
  </si>
  <si>
    <t>Exp 1-3</t>
  </si>
  <si>
    <t>Size difference / choice</t>
  </si>
  <si>
    <t>Exact binomials evaluated</t>
  </si>
  <si>
    <t>Extracted main effects.</t>
  </si>
  <si>
    <t>A) NA. B) Independent. C) No missing trials found.</t>
  </si>
  <si>
    <t>Fig 4 / Results</t>
  </si>
  <si>
    <t>Conditioning</t>
  </si>
  <si>
    <t>First entry probability</t>
  </si>
  <si>
    <t>40 / 56 (0.71)</t>
  </si>
  <si>
    <t>36 / 63 (0.57)</t>
  </si>
  <si>
    <t>Extracted Binomial P = 0.0018.</t>
  </si>
  <si>
    <t>A) NA (Binary). B) Repeated measures detected on Day 1 vs 8. C) Added Testing Phase (χ²=12.938).</t>
  </si>
  <si>
    <t>Table 4 &amp; 6</t>
  </si>
  <si>
    <t>Imperio_2020_ScientificReports</t>
  </si>
  <si>
    <t>M12 (Copying)</t>
  </si>
  <si>
    <t>Number of copulations</t>
  </si>
  <si>
    <t>Normal model p=0.045, N=29</t>
  </si>
  <si>
    <t>Extracted model p-value.</t>
  </si>
  <si>
    <t>A) Confirmed SE. B) Independent. C) No missing mate copying trials.</t>
  </si>
  <si>
    <t>Table 2</t>
  </si>
  <si>
    <t>Exp 1</t>
  </si>
  <si>
    <t>Preference ratio</t>
  </si>
  <si>
    <t>F = 22.960, df = 3,36, P &lt; 0.001</t>
  </si>
  <si>
    <t>Extracted main ANOVA.</t>
  </si>
  <si>
    <t>A) NA. B) Repeated measures. C) No missing trials found.</t>
  </si>
  <si>
    <t>Results Text</t>
  </si>
  <si>
    <t>F = 10.999, df = 7,49, P &lt; 0.001</t>
  </si>
  <si>
    <t>A) NA. B) Repeated measures. C) Added Exp 4 (Actual male choice).</t>
  </si>
  <si>
    <t>Treatment 1 &amp; 2</t>
  </si>
  <si>
    <t>Time spent</t>
  </si>
  <si>
    <t>Mann-Whitney U test</t>
  </si>
  <si>
    <t>IQR</t>
  </si>
  <si>
    <t>Extracted medians.</t>
  </si>
  <si>
    <t>A) Corrected to IQR. B) Independent. C) No missing trials found.</t>
  </si>
  <si>
    <t>Additional File 1</t>
  </si>
  <si>
    <t>Treatment 1</t>
  </si>
  <si>
    <t>Time spent (s)</t>
  </si>
  <si>
    <t>Median 365 (IQR: 267.5, 647.5)</t>
  </si>
  <si>
    <t>Baseline 545 (IQR: 230, 717.4)</t>
  </si>
  <si>
    <t>Extracted Means and SDs.</t>
  </si>
  <si>
    <t>A) MAJOR ERROR: Corrected Mean/SD to Median/IQR. B) Independent. C) No missing trials.</t>
  </si>
  <si>
    <t>Results Text, Page 6</t>
  </si>
  <si>
    <t>3-1 Experiment</t>
  </si>
  <si>
    <t>Length of preferred (mm)</t>
  </si>
  <si>
    <t>21.4 ± 0.4 (N = 20)</t>
  </si>
  <si>
    <t>20.9 ± 0.4 (N = 20)</t>
  </si>
  <si>
    <t>Extracted t=2.4.</t>
  </si>
  <si>
    <t>A) Confirmed SE. B) Independent. C) Added 1-3, 0-1, and 2-1 experiments.</t>
  </si>
  <si>
    <t>Results Text, Pg 107</t>
  </si>
  <si>
    <t>Experiment I &amp; II</t>
  </si>
  <si>
    <t>t = 1.583, df = 73, P = 0.118</t>
  </si>
  <si>
    <t>Extracted means and SDs.</t>
  </si>
  <si>
    <t>A) Corrected SD to SE based on figure legends. B) Independent. C) Added Control trial.</t>
  </si>
  <si>
    <t>Results Text &amp; Fig 3</t>
  </si>
  <si>
    <t>Phase 1 (Group W)</t>
  </si>
  <si>
    <t>Mean time (s)</t>
  </si>
  <si>
    <t>431.67 vs 196.78 (N = 18)</t>
  </si>
  <si>
    <t>Extracted phase 1 only.</t>
  </si>
  <si>
    <t>A) Confirmed SE. B) Independent. C) Missing trials added: Exps II, III, and Phase 2.</t>
  </si>
  <si>
    <t>Table 1</t>
  </si>
  <si>
    <t>MCC Treatment</t>
  </si>
  <si>
    <t>Mating preference</t>
  </si>
  <si>
    <t>χ² = 15.924, df = 1, P = 0.5979</t>
  </si>
  <si>
    <t>Extracted Chi-square value.</t>
  </si>
  <si>
    <t>Results Text, Page 30</t>
  </si>
  <si>
    <t>Mendelson_2023_PlosBiology</t>
  </si>
  <si>
    <t>Review article. No primary data.</t>
  </si>
  <si>
    <t>MCC Tendency</t>
  </si>
  <si>
    <t>Difference score</t>
  </si>
  <si>
    <t>GLM F = 0.55, P = 0.65</t>
  </si>
  <si>
    <t>Extracted GLM for week 1.</t>
  </si>
  <si>
    <t>A) NA. B) Independent. C) Missing trial added: Week 2 Repeatability (R=-0.21).</t>
  </si>
  <si>
    <t>Table 8 &amp; Fig 9</t>
  </si>
  <si>
    <t>M4-mated Demo</t>
  </si>
  <si>
    <t>Proportion mating</t>
  </si>
  <si>
    <t>GLM χ² = 12.1, P = 0.007</t>
  </si>
  <si>
    <t>N = 61 (No demo)</t>
  </si>
  <si>
    <t>Extracted GLM stats.</t>
  </si>
  <si>
    <t>A) NA (Binary). B) Independent. C) Added M7-mated &amp; Extract trials.</t>
  </si>
  <si>
    <t>Fig 2A &amp; Text</t>
  </si>
  <si>
    <t>Copying Trial</t>
  </si>
  <si>
    <t>Relative time</t>
  </si>
  <si>
    <t>GLMM complementary log-log</t>
  </si>
  <si>
    <t>Extracted text summary.</t>
  </si>
  <si>
    <t>UAS-rut+ observer</t>
  </si>
  <si>
    <t>Mate-copying index</t>
  </si>
  <si>
    <t>Binomial P = 0.0002 / GLMM P = 0.005</t>
  </si>
  <si>
    <t>N = 66 (C739/+)</t>
  </si>
  <si>
    <t>Extracted binomial Ps.</t>
  </si>
  <si>
    <t>A) NA. B) Independent. C) Added Picture Demonstration trial.</t>
  </si>
  <si>
    <t>Fig 2</t>
  </si>
  <si>
    <t>Informed Treatment</t>
  </si>
  <si>
    <t>Wald χ² = 29.918, P = 0.00000005</t>
  </si>
  <si>
    <t>N = 189 (Uninformed)</t>
  </si>
  <si>
    <t>Extracted Wald Chi-square.</t>
  </si>
  <si>
    <t>Fig 2A</t>
  </si>
  <si>
    <t>Live vs Photo</t>
  </si>
  <si>
    <t>Binomial P = 0.003 (Photos)</t>
  </si>
  <si>
    <t>N = 80 (Real flies)</t>
  </si>
  <si>
    <t>Extracted Live vs Photo.</t>
  </si>
  <si>
    <t>A) NA. B) Independent. C) Added Demo Length and Modification trials (Exps 2-5).</t>
  </si>
  <si>
    <t>Fig 3, 4, 6, 7</t>
  </si>
  <si>
    <t>Acceptance Treatment</t>
  </si>
  <si>
    <t>Binomial P = 0.00005 (N=65)</t>
  </si>
  <si>
    <t>N = 65 (Control)</t>
  </si>
  <si>
    <t>Extracted Binomials.</t>
  </si>
  <si>
    <t>A) NA. B) Independent. C) Added Rejection treatment (P=0.268).</t>
  </si>
  <si>
    <t>Control 1</t>
  </si>
  <si>
    <t>Social learning score</t>
  </si>
  <si>
    <t>LM F = 0.851, P = 0.362</t>
  </si>
  <si>
    <t>Extracted LM stats.</t>
  </si>
  <si>
    <t>A) NA. B) Independent. C) Added Control 2 and main mate-copying trials.</t>
  </si>
  <si>
    <t>Mate-copying</t>
  </si>
  <si>
    <t>Social-learning score</t>
  </si>
  <si>
    <t>LM F = 0.001, P = 0.976</t>
  </si>
  <si>
    <t>N = 40 (Control)</t>
  </si>
  <si>
    <t>Extracted LM.</t>
  </si>
  <si>
    <t>LTSM MB247</t>
  </si>
  <si>
    <t>GLMM χ² = 19.834, P = 0.0002</t>
  </si>
  <si>
    <t>N = 66 (Wild type)</t>
  </si>
  <si>
    <t>Extracted GLMM.</t>
  </si>
  <si>
    <t>A) NA. B) Independent. C) Added CXM blocker condition.</t>
  </si>
  <si>
    <t>Video-mating</t>
  </si>
  <si>
    <t>Change in preference</t>
  </si>
  <si>
    <t>rmANOVA F = 8.23, P &lt; 0.01</t>
  </si>
  <si>
    <t>Extracted Exp 1 F-stat.</t>
  </si>
  <si>
    <t>A) Confirmed SE. B) Repeated measures. C) Missing trials added: Exps 2-5.</t>
  </si>
  <si>
    <t>Fig 2.3 &amp; 3.2</t>
  </si>
  <si>
    <t>Methodological excerpt, no raw stats present.</t>
  </si>
  <si>
    <t>Treatment 1-3</t>
  </si>
  <si>
    <t>Fraction time</t>
  </si>
  <si>
    <t>rmGLM F = 63.077, P &lt; 0.0001</t>
  </si>
  <si>
    <t>Extracted rmGLM.</t>
  </si>
  <si>
    <t>Table 3</t>
  </si>
  <si>
    <t>Control vs Matched</t>
  </si>
  <si>
    <t>ANOVA F = 64.9, P &lt; 0.001</t>
  </si>
  <si>
    <t>N = 40 per group</t>
  </si>
  <si>
    <t>Extracted F-stat.</t>
  </si>
  <si>
    <t>A) Confirmed SE. B) Independent. C) Missing trials added: Attractive/Less attractive models.</t>
  </si>
  <si>
    <t>Roberts_2004_Unknown</t>
  </si>
  <si>
    <t>Odor vs Sight</t>
  </si>
  <si>
    <t>Proportional increase</t>
  </si>
  <si>
    <t>Wilcoxon signed-ranks</t>
  </si>
  <si>
    <t>Extracted stat type.</t>
  </si>
  <si>
    <t>A) NA. B) Repeated measures (spaced 2 weeks). C) No missing trials found.</t>
  </si>
  <si>
    <t>Fig 1 &amp; Text</t>
  </si>
  <si>
    <t>Shell preference</t>
  </si>
  <si>
    <t>Occupied shells</t>
  </si>
  <si>
    <t>N = 59 vs 89</t>
  </si>
  <si>
    <t>Extracted Ns.</t>
  </si>
  <si>
    <t>A) NA. B) Independent. C) No mate copying stats present in excerpt.</t>
  </si>
  <si>
    <t>Gen 6 Assay</t>
  </si>
  <si>
    <t>Assortative preference</t>
  </si>
  <si>
    <t>z = 3.435, P &lt; 0.001</t>
  </si>
  <si>
    <t>Extracted z-scores.</t>
  </si>
  <si>
    <t>A) NA. B) Independent. C) Added Gen 10 assay (z = 4.228).</t>
  </si>
  <si>
    <t>Table S2</t>
  </si>
  <si>
    <t>Vega-Trejo_2024_Unknown</t>
  </si>
  <si>
    <t>Barrier vs No Barrier</t>
  </si>
  <si>
    <t>Mating latency</t>
  </si>
  <si>
    <t>glmmTMB evaluated (N=304)</t>
  </si>
  <si>
    <t>Extracted N.</t>
  </si>
  <si>
    <t>Social mate-choice</t>
  </si>
  <si>
    <t>Mate-choice score</t>
  </si>
  <si>
    <t>Wilcoxon V = 183, P = 0.002</t>
  </si>
  <si>
    <t>Extracted V-stat.</t>
  </si>
  <si>
    <t>A) Corrected variance to IQR based on boxplots. B) Independent. C) Added Female specific trials.</t>
  </si>
  <si>
    <t>Tutor treatment</t>
  </si>
  <si>
    <t>Sigmoid proportion</t>
  </si>
  <si>
    <t>LR χ² = 10.32, P = 0.006</t>
  </si>
  <si>
    <t>Extracted Chi-square.</t>
  </si>
  <si>
    <t>A) Confirmed SE. B) Independent. C) Added Predator x Assay water interactions.</t>
  </si>
  <si>
    <t>Thrusting</t>
  </si>
  <si>
    <t>GLM F = 2.780, P = 0.027</t>
  </si>
  <si>
    <t>Extracted GLM F-stat.</t>
  </si>
  <si>
    <t>Proportion copying last demo</t>
  </si>
  <si>
    <t>MetaAnalysis_Reference_Sheet</t>
  </si>
  <si>
    <t>Codebook/Template. No primary data.</t>
  </si>
  <si>
    <t>A) NA (Binary). B) Independent. C) Added M7-mated &amp; CHC Extract trials.</t>
  </si>
  <si>
    <t>A) NA. B) Independent. C) Added Control 2 and main mate-copying trials (F=7.692).</t>
  </si>
  <si>
    <t>Sapage_2020_BehavioralEcology</t>
  </si>
  <si>
    <t>Commentary article. No primary data.</t>
  </si>
  <si>
    <t>Author_year_journal</t>
  </si>
  <si>
    <t>SpeciesCheckedInRecord</t>
  </si>
  <si>
    <t>Bierbach_2011_BehavEcolSociobiol</t>
  </si>
  <si>
    <t>Chen_2021_JournalOfPsychologicalScience</t>
  </si>
  <si>
    <t>Homo sapiens</t>
  </si>
  <si>
    <t>Clemente_2012_UniversidadeDeLisboa</t>
  </si>
  <si>
    <t>Cruz_2014_UniversidadeDeLisboa</t>
  </si>
  <si>
    <t>Durey_2008_EuropeanConferenceOnBehaviouralBiology</t>
  </si>
  <si>
    <t>Betta splendens</t>
  </si>
  <si>
    <t>Fowler-Finn_2015_CurrentZoology</t>
  </si>
  <si>
    <t>Schizocosa  sp.</t>
  </si>
  <si>
    <t>Gilman_2018_AmericanNaturalist</t>
  </si>
  <si>
    <t>Dama dama</t>
  </si>
  <si>
    <t>Kavaliers_2022_AnimCogn</t>
  </si>
  <si>
    <t>Kniel_2015_FrontZool</t>
  </si>
  <si>
    <t>MacLaren_2024_PloSOne</t>
  </si>
  <si>
    <t>Marcos_2019_Ispa</t>
  </si>
  <si>
    <t>Mitchell_2025_AmNat</t>
  </si>
  <si>
    <t>Nöbel_2022_ProceedingsOfTheRoyalSocietyB</t>
  </si>
  <si>
    <t>Nöbel_2023_IScience</t>
  </si>
  <si>
    <t>Nöbel_2022_BehavEcol</t>
  </si>
  <si>
    <t>Nöbel_2022_SciRep</t>
  </si>
  <si>
    <t>Nöbel_2025_SciRep</t>
  </si>
  <si>
    <t>Ophir_2009_McMasterUniversity</t>
  </si>
  <si>
    <t>Plath_2008_CurrBiol</t>
  </si>
  <si>
    <t>Poecilia mexicana ,  Poecilia formosa</t>
  </si>
  <si>
    <t>Wrong</t>
  </si>
  <si>
    <t>Roberts_2004_ConservationBiology</t>
  </si>
  <si>
    <t>Micromys minutus</t>
  </si>
  <si>
    <t>Schütz_2000_JFishBiol</t>
  </si>
  <si>
    <t>Silva_2014_UniversidadeDeLisboa</t>
  </si>
  <si>
    <t>Vega-Trejo_2024_SciRep</t>
  </si>
  <si>
    <t>Ziege_2009_FrontZool</t>
  </si>
  <si>
    <t>First Author</t>
  </si>
  <si>
    <t>Last Author</t>
  </si>
  <si>
    <t>Corresponding Author</t>
  </si>
  <si>
    <t>Collaboration Status</t>
  </si>
  <si>
    <t>Ainsley Harrison-Weiss (McMaster University)</t>
  </si>
  <si>
    <t>Sigal Balshine / Francis Juanes (McMaster Univ. / Univ. Victoria)</t>
  </si>
  <si>
    <t>Ainsley Harrison-Weiss</t>
  </si>
  <si>
    <t>Multi-Lab</t>
  </si>
  <si>
    <t>Sigal Balshine (McMaster University)</t>
  </si>
  <si>
    <t>Elena G. Belkina (Koltzov Institute of Developmental Biology)</t>
  </si>
  <si>
    <t>Alexander V. Markov (Lomonosov Moscow State University)</t>
  </si>
  <si>
    <t>Elena G. Belkina</t>
  </si>
  <si>
    <t>Sabine Nöbel (Université de Toulouse)</t>
  </si>
  <si>
    <t>Etienne Danchin (Université de Toulouse)</t>
  </si>
  <si>
    <t>Sabine Nöbel</t>
  </si>
  <si>
    <t>Alexander G. Ophir (McMaster University)</t>
  </si>
  <si>
    <t>Bennett G. Galef Jr. (McMaster University)</t>
  </si>
  <si>
    <t>Alexander G. Ophir</t>
  </si>
  <si>
    <t>Single Lab</t>
  </si>
  <si>
    <t>Ryan J. P. Pusiak (Carleton University)</t>
  </si>
  <si>
    <t>Jean-Guy J. Godin (Carleton University)</t>
  </si>
  <si>
    <t>Jean-Guy J. Godin</t>
  </si>
  <si>
    <t>Miller (Carleton University)</t>
  </si>
  <si>
    <t>Miller</t>
  </si>
  <si>
    <t>Yusan Yang (Washington University in St. Louis)</t>
  </si>
  <si>
    <t>Swanne P. Gordon (Washington University in St. Louis)</t>
  </si>
  <si>
    <t>Yusan Yang</t>
  </si>
  <si>
    <t>Ricardo Santiago Araújo (Université de Toulouse)</t>
  </si>
  <si>
    <t>Guillaume Isabel (Université de Toulouse)</t>
  </si>
  <si>
    <t>Etienne Danchin &amp; Guillaume Isabel</t>
  </si>
  <si>
    <t>Alexandra G. Duffy (North Carolina State University)</t>
  </si>
  <si>
    <t>Jerald B. Johnson (Brigham Young University)</t>
  </si>
  <si>
    <t>Alexandra G. Duffy</t>
  </si>
  <si>
    <t>Chinatsu Kobayashi (Unknown / Japan)</t>
  </si>
  <si>
    <t>Kenji Karino (Unknown / Japan)</t>
  </si>
  <si>
    <t>Kenji Karino</t>
  </si>
  <si>
    <t>Martin Kavaliers (University of Western Ontario)</t>
  </si>
  <si>
    <t>Elena Choleris (University of Guelph)</t>
  </si>
  <si>
    <t>Martin Kavaliers</t>
  </si>
  <si>
    <t>R.L. Moran (Northern Illinois University)</t>
  </si>
  <si>
    <t>B.H. King (Northern Illinois University)</t>
  </si>
  <si>
    <t>R.L. Moran</t>
  </si>
  <si>
    <t>Bloo Mitchell (University of Memphis)</t>
  </si>
  <si>
    <t>Philip Kohlmeier (University of Memphis)</t>
  </si>
  <si>
    <t>Philip Kohlmeier</t>
  </si>
  <si>
    <t>Ronald D. MacLaren (Merrimack College)</t>
  </si>
  <si>
    <t>Ronald D. MacLaren</t>
  </si>
  <si>
    <t>Ronald David MacLaren (Merrimack College)</t>
  </si>
  <si>
    <t>Ronald David MacLaren</t>
  </si>
  <si>
    <t>Sabine Nöbel (Martin-Luther University Halle-Wittenberg)</t>
  </si>
  <si>
    <t>T. E. Kaufmann (Martin-Luther University Halle-Wittenberg)</t>
  </si>
  <si>
    <t>Marcos (Instituto Gulbenkian de Ciência)</t>
  </si>
  <si>
    <t>Rui Oliveira (Instituto Gulbenkian de Ciência)</t>
  </si>
  <si>
    <t>Marcos</t>
  </si>
  <si>
    <t>M. Plath (University of Potsdam)</t>
  </si>
  <si>
    <t>R. Tiedemann (University of Potsdam)</t>
  </si>
  <si>
    <t>M. Plath</t>
  </si>
  <si>
    <t>D. Bierbach (University of Potsdam)</t>
  </si>
  <si>
    <t>Martin Plath (University of Potsdam)</t>
  </si>
  <si>
    <t>Ingo Schlupp (University of Oklahoma)</t>
  </si>
  <si>
    <t>Martin Plath</t>
  </si>
  <si>
    <t>Madlen Ziege (J.W. Goethe Univ. Frankfurt)</t>
  </si>
  <si>
    <t>Madlen Ziege (J.W. Goethe University Frankfurt)</t>
  </si>
  <si>
    <t>Lauren A. Cirino (University of Wisconsin-Milwaukee)</t>
  </si>
  <si>
    <t>Rafael Lucas Rodríguez (University of Wisconsin-Milwaukee)</t>
  </si>
  <si>
    <t>Lauren A. Cirino</t>
  </si>
  <si>
    <t>Myriam Roussigné (Université de Toulouse)</t>
  </si>
  <si>
    <t>D. Schütz (Austrian Academy of Sciences)</t>
  </si>
  <si>
    <t>M. Taborsky (Austrian Academy of Sciences)</t>
  </si>
  <si>
    <t>M. Taborsky</t>
  </si>
  <si>
    <t>F. Clemente (Universidade de Lisboa)</t>
  </si>
  <si>
    <t>Unknown (Universidade de Lisboa)</t>
  </si>
  <si>
    <t>F. Clemente</t>
  </si>
  <si>
    <t>Gonçalo Faria da Silva (Universidade de Lisboa)</t>
  </si>
  <si>
    <t>Gonçalo Faria da Silva</t>
  </si>
  <si>
    <t>Maximilian Huckvale (University of Exeter)</t>
  </si>
  <si>
    <t>Unknown (University of Exeter)</t>
  </si>
  <si>
    <t>Maximilian Huckvale</t>
  </si>
  <si>
    <t>Klaudia Witte (University of Siegen)</t>
  </si>
  <si>
    <t>Klaudia Witte</t>
  </si>
  <si>
    <t>Nina Kniel (University of Siegen)</t>
  </si>
  <si>
    <t>Nina Kniel</t>
  </si>
  <si>
    <t>study_id</t>
  </si>
  <si>
    <t>Author Name</t>
  </si>
  <si>
    <t>Author Position</t>
  </si>
  <si>
    <t>Institutional Affiliation</t>
  </si>
  <si>
    <t>lab_id</t>
  </si>
  <si>
    <t>Ricardo Santiago Araújo</t>
  </si>
  <si>
    <t>First</t>
  </si>
  <si>
    <t>Université de Toulouse</t>
  </si>
  <si>
    <t>Middle</t>
  </si>
  <si>
    <t>Diogo F. Antunes</t>
  </si>
  <si>
    <t>Etienne Danchin</t>
  </si>
  <si>
    <t>Guillaume Isabel</t>
  </si>
  <si>
    <t>Last, Corresponding</t>
  </si>
  <si>
    <t>First, Corresponding</t>
  </si>
  <si>
    <t>Koltzov Institute of Developmental Biology</t>
  </si>
  <si>
    <t>Markov_LomonosovMoscowStateUniversity_Moscow</t>
  </si>
  <si>
    <t>Alexander Shiglik</t>
  </si>
  <si>
    <t>Lomonosov Moscow State University</t>
  </si>
  <si>
    <t>Natalia G. Sopilko</t>
  </si>
  <si>
    <t>Sergey N. Lysenkov</t>
  </si>
  <si>
    <t>Alexander V. Markov</t>
  </si>
  <si>
    <t>Last</t>
  </si>
  <si>
    <t>D. Bierbach</t>
  </si>
  <si>
    <t>University of Potsdam</t>
  </si>
  <si>
    <t>C. Kronmarck</t>
  </si>
  <si>
    <t>C. Hennige-Schulz</t>
  </si>
  <si>
    <t>S. Stadler</t>
  </si>
  <si>
    <t>University of Wisconsin-Milwaukee</t>
  </si>
  <si>
    <t>Ian D. Gallagher</t>
  </si>
  <si>
    <t>Camille Desjonquères</t>
  </si>
  <si>
    <t>Rafael Lucas Rodríguez</t>
  </si>
  <si>
    <t>First, Last, Corresponding</t>
  </si>
  <si>
    <t>Universidade de Lisboa</t>
  </si>
  <si>
    <t>Clemente_UniversidadeDeLisboa_Lisbon</t>
  </si>
  <si>
    <t>North Carolina State University</t>
  </si>
  <si>
    <t>Megan Gunn Pew</t>
  </si>
  <si>
    <t>University of North Florida</t>
  </si>
  <si>
    <t>Jerald B. Johnson</t>
  </si>
  <si>
    <t>Brigham Young University</t>
  </si>
  <si>
    <t>McMaster University</t>
  </si>
  <si>
    <t>Harrison-Weiss_McMasterUniversity_Hamilton</t>
  </si>
  <si>
    <t>Anna Grace Burgess</t>
  </si>
  <si>
    <t>Madeleine G. Thomson</t>
  </si>
  <si>
    <t>University of Victoria</t>
  </si>
  <si>
    <t>Aneesh P. H. Bose</t>
  </si>
  <si>
    <t>Swedish University of Agricultural Sciences</t>
  </si>
  <si>
    <t>Francis Juanes</t>
  </si>
  <si>
    <t>Sigal Balshine</t>
  </si>
  <si>
    <t>University of Exeter</t>
  </si>
  <si>
    <t>Huckvale_UniversityOfExeter_Exeter</t>
  </si>
  <si>
    <t>University of Western Ontario</t>
  </si>
  <si>
    <t>Choleris_UniversityOfGuelph_Guelph</t>
  </si>
  <si>
    <t>Douglas D. Colwell</t>
  </si>
  <si>
    <t>Agriculture and Agri-Food Canada</t>
  </si>
  <si>
    <t>Deanne T.O. Wah</t>
  </si>
  <si>
    <t>Indra R. Bishnoi</t>
  </si>
  <si>
    <t>Klaus-Peter Ossenkopp</t>
  </si>
  <si>
    <t>Elena Choleris</t>
  </si>
  <si>
    <t>University of Guelph</t>
  </si>
  <si>
    <t>University of Siegen</t>
  </si>
  <si>
    <t>J. Schmitz</t>
  </si>
  <si>
    <t>Katharina Müller</t>
  </si>
  <si>
    <t>Chinatsu Kobayashi</t>
  </si>
  <si>
    <t>Unknown</t>
  </si>
  <si>
    <t>Merrimack College</t>
  </si>
  <si>
    <t>Instituto Gulbenkian de Ciência</t>
  </si>
  <si>
    <t>Rui Oliveira</t>
  </si>
  <si>
    <t>Carleton University</t>
  </si>
  <si>
    <t>Bloo Mitchell</t>
  </si>
  <si>
    <t>University of Memphis</t>
  </si>
  <si>
    <t>Alexandria Abbott</t>
  </si>
  <si>
    <t>Ashanti Brown</t>
  </si>
  <si>
    <t>Lacy N. Skinner</t>
  </si>
  <si>
    <t>Christian Brothers University</t>
  </si>
  <si>
    <t>Elmira Umarova</t>
  </si>
  <si>
    <t>Northern Illinois University</t>
  </si>
  <si>
    <t>C.N. von Ende</t>
  </si>
  <si>
    <t>B.H. King</t>
  </si>
  <si>
    <t>Magdalena Monier</t>
  </si>
  <si>
    <t>Laura Fargeot</t>
  </si>
  <si>
    <t>Guillaume Lespagnol</t>
  </si>
  <si>
    <t>Xiaobo Wang</t>
  </si>
  <si>
    <t>Laurine Talvard</t>
  </si>
  <si>
    <t>Juliette Tariel</t>
  </si>
  <si>
    <t>Maëva Lille</t>
  </si>
  <si>
    <t>Julien Cucherousset</t>
  </si>
  <si>
    <t>Myriam Roussigné</t>
  </si>
  <si>
    <t>David Villa</t>
  </si>
  <si>
    <t>Étienne Danchin</t>
  </si>
  <si>
    <t>Marion Cristante</t>
  </si>
  <si>
    <t>Marine Guëll</t>
  </si>
  <si>
    <t>Martin-Luther University Halle-Wittenberg</t>
  </si>
  <si>
    <t>Kaufmann_MartinLutherUniversity_Halle</t>
  </si>
  <si>
    <t>T. E. Kaufmann</t>
  </si>
  <si>
    <t>Bennett G. Galef Jr.</t>
  </si>
  <si>
    <t>Schlupp_UniversityOfOklahoma_Norman</t>
  </si>
  <si>
    <t>Stephanie Richter</t>
  </si>
  <si>
    <t>Ralph Tiedemann</t>
  </si>
  <si>
    <t>Ingo Schlupp</t>
  </si>
  <si>
    <t>University of Oklahoma</t>
  </si>
  <si>
    <t>Tiedemann_UniversityOfPotsdam_Potsdam</t>
  </si>
  <si>
    <t>K. Kromuszczynski</t>
  </si>
  <si>
    <t>R. Tiedemann</t>
  </si>
  <si>
    <t>Ryan J. P. Pusiak</t>
  </si>
  <si>
    <t>Heather L. Auld</t>
  </si>
  <si>
    <t>D. Schütz</t>
  </si>
  <si>
    <t>Austrian Academy of Sciences</t>
  </si>
  <si>
    <t>Silva_UniversidadeDeLisboa_Lisbon</t>
  </si>
  <si>
    <t>Nöbel_UniversiteDeToulouse_Toulouse</t>
  </si>
  <si>
    <t>Katharina Baumgärtner</t>
  </si>
  <si>
    <t>Corinna Röhrig</t>
  </si>
  <si>
    <t>Washington University in St. Louis</t>
  </si>
  <si>
    <t>Caleb J. Axelrod</t>
  </si>
  <si>
    <t>Cornell University</t>
  </si>
  <si>
    <t>Elly Grant</t>
  </si>
  <si>
    <t>Shayna R. Earl</t>
  </si>
  <si>
    <t>University of Louisville</t>
  </si>
  <si>
    <t>Ellen M. Urquhart</t>
  </si>
  <si>
    <t>Katie Talbert</t>
  </si>
  <si>
    <t>Lauren E. Johnson</t>
  </si>
  <si>
    <t>Zakiya Walker</t>
  </si>
  <si>
    <t>Kyle Hsiao</t>
  </si>
  <si>
    <t>Isabel Stone</t>
  </si>
  <si>
    <t>Bruce A. Carlson</t>
  </si>
  <si>
    <t>Andrés López-Sepulcre</t>
  </si>
  <si>
    <t>Swanne P. Gordon</t>
  </si>
  <si>
    <t>Madlen Ziege</t>
  </si>
  <si>
    <t>J.W. Goethe University Frankfurt</t>
  </si>
  <si>
    <t>Kristin Mahlow</t>
  </si>
  <si>
    <t>Carmen Hennige-Schulz</t>
  </si>
  <si>
    <t>Claudia Kronmarck</t>
  </si>
  <si>
    <t>Bruno Streit</t>
  </si>
  <si>
    <t>Frauke Muecksch</t>
  </si>
  <si>
    <t>David Bierbach</t>
  </si>
  <si>
    <t>Trial Description</t>
  </si>
  <si>
    <t>Sample Size (N)</t>
  </si>
  <si>
    <t>Subject Independence</t>
  </si>
  <si>
    <t>Control Group Shared</t>
  </si>
  <si>
    <t>Data Location (CRITICAL)</t>
  </si>
  <si>
    <t>Observers watched two successive demonstrations providing conflicting social information.</t>
  </si>
  <si>
    <t>Independent Cohort</t>
  </si>
  <si>
    <t>Yes (Control 1 &amp; 2)</t>
  </si>
  <si>
    <t>Figure 3, Page 4</t>
  </si>
  <si>
    <t>Observers watched one demonstration followed by no demonstration to control for time gaps.</t>
  </si>
  <si>
    <t>Yes (Main &amp; Control 2)</t>
  </si>
  <si>
    <t>Control 2</t>
  </si>
  <si>
    <t>Observers had no demonstration first, followed by one demonstration.</t>
  </si>
  <si>
    <t>Yes (Main &amp; Control 1)</t>
  </si>
  <si>
    <t>Observer females watched a demonstrator successfully copulate through a transparent partition.</t>
  </si>
  <si>
    <t>Yes (Control)</t>
  </si>
  <si>
    <t>Control Treatment</t>
  </si>
  <si>
    <t>An opaque partition blocked the observer from seeing the demonstrator copulate.</t>
  </si>
  <si>
    <t>Yes (Training)</t>
  </si>
  <si>
    <t>Treatment 1 (Control)</t>
  </si>
  <si>
    <t>Focal males tested with no audience presented during the second part of the trial.</t>
  </si>
  <si>
    <t>Yes (Treatments 2 &amp; 3)</t>
  </si>
  <si>
    <t>Results Text, Page 4</t>
  </si>
  <si>
    <t>Treatment 2</t>
  </si>
  <si>
    <t>Visual interaction was allowed between a model male and the previously non-preferred female.</t>
  </si>
  <si>
    <t>Yes (Treatments 1 &amp; 3)</t>
  </si>
  <si>
    <t>Treatment 3</t>
  </si>
  <si>
    <t>Sexual interaction was allowed between a model male and the previously non-preferred female.</t>
  </si>
  <si>
    <t>Yes (Treatments 1 &amp; 2)</t>
  </si>
  <si>
    <t>Attractive / Long</t>
  </si>
  <si>
    <t>Females exposed to an attractive male signal coupled with a long female response playback.</t>
  </si>
  <si>
    <t>Yes (No Response conditions)</t>
  </si>
  <si>
    <t>Figure 6, Page 143</t>
  </si>
  <si>
    <t>Attractive / Short</t>
  </si>
  <si>
    <t>Females exposed to an attractive male signal coupled with a short female response.</t>
  </si>
  <si>
    <t>Attractive / None</t>
  </si>
  <si>
    <t>Females exposed to an attractive male signal with no female response playback (Control).</t>
  </si>
  <si>
    <t>Yes (Attractive treatments)</t>
  </si>
  <si>
    <t>Unattractive / Long</t>
  </si>
  <si>
    <t>Females exposed to an unattractive male signal coupled with a long female response.</t>
  </si>
  <si>
    <t>Unattractive / Short</t>
  </si>
  <si>
    <t>Females exposed to an unattractive male signal coupled with a short female response.</t>
  </si>
  <si>
    <t>Unattractive / None</t>
  </si>
  <si>
    <t>Females exposed to an unattractive male signal with no female response playback (Control).</t>
  </si>
  <si>
    <t>Yes (Unattractive treatments)</t>
  </si>
  <si>
    <t>Tested alternative protocols assessing time spent affiliating to assess female preference.</t>
  </si>
  <si>
    <t>Table 2, Page 20</t>
  </si>
  <si>
    <t>Experiment 2</t>
  </si>
  <si>
    <t>Tested whether shortening the demonstration sequences still allowed for mate-choice copying.</t>
  </si>
  <si>
    <t>Table 9, Page 24</t>
  </si>
  <si>
    <t>Bystander Trial</t>
  </si>
  <si>
    <t>Bystanders observed interactions between dominant/subordinate demonstrators.</t>
  </si>
  <si>
    <t>Figure 2.5, Page 29</t>
  </si>
  <si>
    <t>Contests staged with or without audience pre-exposure and exposure.</t>
  </si>
  <si>
    <t>Figure 3.4, Page 44</t>
  </si>
  <si>
    <t>Females viewed a demonstrator female adjacent to the initially non-preferred male.</t>
  </si>
  <si>
    <t>Yes (Control Treatment)</t>
  </si>
  <si>
    <t>Females underwent dichotomous choice test without any social information.</t>
  </si>
  <si>
    <t>Yes (Social Treatment)</t>
  </si>
  <si>
    <t>Repeatability Trial</t>
  </si>
  <si>
    <t>Females re-tested one month later to assess individual stability of copying behavior.</t>
  </si>
  <si>
    <t>Repeated Measures</t>
  </si>
  <si>
    <t>Figure 4, Page 5</t>
  </si>
  <si>
    <t>Exp 1: Stimulus Female</t>
  </si>
  <si>
    <t>Females chose between a male with an empty tube and a male with a stimulus female.</t>
  </si>
  <si>
    <t>Figure 2.5, Page 31</t>
  </si>
  <si>
    <t>Exp 2: Presence of Eggs</t>
  </si>
  <si>
    <t>Females chose between a male guarding a nest with eggs vs. an empty nest.</t>
  </si>
  <si>
    <t>Exp 3: Female Demo</t>
  </si>
  <si>
    <t>Observer females watched a demonstrator female spawn with one of two males.</t>
  </si>
  <si>
    <t>Sneaker Exp 1</t>
  </si>
  <si>
    <t>Sneaker males chose between a guarder male vs an empty nest.</t>
  </si>
  <si>
    <t>Yes (Sneaker Exp 2 &amp; 3)</t>
  </si>
  <si>
    <t>Figure 3.3, Page 57</t>
  </si>
  <si>
    <t>Sneaker Exp 2</t>
  </si>
  <si>
    <t>Sneaker males chose between a large guarder male vs a small guarder male.</t>
  </si>
  <si>
    <t>Yes (Sneaker Exp 1 &amp; 3)</t>
  </si>
  <si>
    <t>Sneaker Exp 3</t>
  </si>
  <si>
    <t>Sneaker males chose between a nest with eggs vs a nest with no eggs.</t>
  </si>
  <si>
    <t>Yes (Sneaker Exp 1 &amp; 2)</t>
  </si>
  <si>
    <t>Females chose between an empty nest and a nest containing a stimulus female.</t>
  </si>
  <si>
    <t>Females chose between an empty nest and a nest containing eggs.</t>
  </si>
  <si>
    <t>Observer females watched a demonstrator spawn to assess true copying.</t>
  </si>
  <si>
    <t>Conditioning Phase</t>
  </si>
  <si>
    <t>Females underwent classical conditioning over 8 days with a color cue for high-quality males.</t>
  </si>
  <si>
    <t>Table 4, Page 52</t>
  </si>
  <si>
    <t>Testing Phase</t>
  </si>
  <si>
    <t>Females were tested in a reversal experiment under varying starvation limits (0h, 24h, 48h).</t>
  </si>
  <si>
    <t>Table 6, Page 58</t>
  </si>
  <si>
    <t>Females pre-exposed to odors of infected vs uninfected males/females.</t>
  </si>
  <si>
    <t>Results Text, Page 72</t>
  </si>
  <si>
    <t>Exp 2 &amp; 3</t>
  </si>
  <si>
    <t>Evaluated effects of anestrous and female's own odors on male preference.</t>
  </si>
  <si>
    <t>Results Text, Page 73</t>
  </si>
  <si>
    <t>Assessed preferences for male odors associated with familiar kin vs non-kin.</t>
  </si>
  <si>
    <t>Figure 1, Page 4</t>
  </si>
  <si>
    <t>Evaluated effects of anestrous and own odors on male preference.</t>
  </si>
  <si>
    <t>Figure 2, Page 5</t>
  </si>
  <si>
    <t>Exp 4</t>
  </si>
  <si>
    <t>Assessed actual male choice after male odor conditioning.</t>
  </si>
  <si>
    <t>Figure 3, Page 5</t>
  </si>
  <si>
    <t>Females observed a stimulus pair separated by a clear glass screen.</t>
  </si>
  <si>
    <t>Yes (Treatment 2)</t>
  </si>
  <si>
    <t>Figure 2, Page 2</t>
  </si>
  <si>
    <t>Females observed a stimulus pair separated by an opaque screen.</t>
  </si>
  <si>
    <t>Yes (Treatment 1)</t>
  </si>
  <si>
    <t>Females observed a wild-type demonstrator female.</t>
  </si>
  <si>
    <t>Females observed an adorned demonstrator female.</t>
  </si>
  <si>
    <t>0 - 1 Experiment</t>
  </si>
  <si>
    <t>0 models near preferred male, 1 model near non-preferred male.</t>
  </si>
  <si>
    <t>Figure 2, Page 109</t>
  </si>
  <si>
    <t>1 - 3 Experiment</t>
  </si>
  <si>
    <t>1 model near preferred male, 3 models near non-preferred male.</t>
  </si>
  <si>
    <t>3 - 1 Experiment</t>
  </si>
  <si>
    <t>3 models near preferred male, 1 model near non-preferred male.</t>
  </si>
  <si>
    <t>3 - 0 Experiment</t>
  </si>
  <si>
    <t>3 models near preferred male, 0 models near non-preferred male.</t>
  </si>
  <si>
    <t>Figure 3, Page 110</t>
  </si>
  <si>
    <t>2 - 1 Experiment</t>
  </si>
  <si>
    <t>2 models near preferred male, 1 model near non-preferred male.</t>
  </si>
  <si>
    <t>Figure 4, Page 111</t>
  </si>
  <si>
    <t>Experiment I</t>
  </si>
  <si>
    <t>Assessed preference for orange-tailed vs wild-type dummies without a demonstrator.</t>
  </si>
  <si>
    <t>Figure 3a, Page 6</t>
  </si>
  <si>
    <t>Experiment II</t>
  </si>
  <si>
    <t>Models placed next to dummies to test immediate mate-choice copying.</t>
  </si>
  <si>
    <t>Figure 3b, Page 6</t>
  </si>
  <si>
    <t>Control</t>
  </si>
  <si>
    <t>Consistency test performed without any model female.</t>
  </si>
  <si>
    <t>Figure 3c, Page 6</t>
  </si>
  <si>
    <t>Group W</t>
  </si>
  <si>
    <t>Wildtype model female paired with smaller dummy male.</t>
  </si>
  <si>
    <t>Table 1, Page 10</t>
  </si>
  <si>
    <t>Group G</t>
  </si>
  <si>
    <t>Artificially selected gold model female paired with smaller dummy male.</t>
  </si>
  <si>
    <t>Group C</t>
  </si>
  <si>
    <t>Control group with no model female presented.</t>
  </si>
  <si>
    <t>Choice between wildtype-modeled vs gold-modeled male dummies.</t>
  </si>
  <si>
    <t>Figure 5, Page 11</t>
  </si>
  <si>
    <t>Experiment III</t>
  </si>
  <si>
    <t>Baseline assessment of preference for gold vs wildtype males.</t>
  </si>
  <si>
    <t>Figure 6, Page 12</t>
  </si>
  <si>
    <t>Week 1 Trials</t>
  </si>
  <si>
    <t>Tested initial exploratory behavior, boldness, and mate-choice copying tendency.</t>
  </si>
  <si>
    <t>Table 3, Page 39</t>
  </si>
  <si>
    <t>Week 2 Trials</t>
  </si>
  <si>
    <t>Retested focal females one week later for behavioral repeatability.</t>
  </si>
  <si>
    <t>No Demonstrator</t>
  </si>
  <si>
    <t>Mate choice measured without a preceding demonstration.</t>
  </si>
  <si>
    <t>Figure 2A, Page 174</t>
  </si>
  <si>
    <t>Virgin Demonstrator</t>
  </si>
  <si>
    <t>Virgin female with no mating experience used as the demonstrator.</t>
  </si>
  <si>
    <t>M4-mated Demonstrator</t>
  </si>
  <si>
    <t>Demonstrator female previously mated with an M4 male.</t>
  </si>
  <si>
    <t>M7-mated Demonstrator</t>
  </si>
  <si>
    <t>Demonstrator female previously mated with an M7 male.</t>
  </si>
  <si>
    <t>Two Demonstrators</t>
  </si>
  <si>
    <t>Observers simultaneously exposed to an M4-mated and M7-mated demonstrator.</t>
  </si>
  <si>
    <t>Figure 3, Page 175</t>
  </si>
  <si>
    <t>Female Choice Trial</t>
  </si>
  <si>
    <t>Females evaluated an alternative male presented alongside another female.</t>
  </si>
  <si>
    <t>Yes (Male Choice)</t>
  </si>
  <si>
    <t>Results Text, Page 1263</t>
  </si>
  <si>
    <t>Male Choice Trial</t>
  </si>
  <si>
    <t>Males evaluated an alternative female presented alongside another male.</t>
  </si>
  <si>
    <t>Yes (Female Choice)</t>
  </si>
  <si>
    <t>Female watched one male accepted and one male rejected by demonstrator.</t>
  </si>
  <si>
    <t>Figure 2, Page 1021</t>
  </si>
  <si>
    <t>Acceptance Only</t>
  </si>
  <si>
    <t>Female watched only the acceptance of a male by demonstrator.</t>
  </si>
  <si>
    <t>Rejection Only</t>
  </si>
  <si>
    <t>Female watched only the rejection of a male by demonstrator.</t>
  </si>
  <si>
    <t>Females observed a demonstration with social information before mate choice.</t>
  </si>
  <si>
    <t>Consistency control where no social information was provided.</t>
  </si>
  <si>
    <t>Group size control replacing stimulus males with females.</t>
  </si>
  <si>
    <t>Exp 1: Live vs Photo</t>
  </si>
  <si>
    <t>Compared copying using live vs 2D photo demonstrations.</t>
  </si>
  <si>
    <t>Exp 2: Demo Length</t>
  </si>
  <si>
    <t>Effect of showing 2D photos for 5, 15, or 30 minutes.</t>
  </si>
  <si>
    <t>Figure 4, Page 4</t>
  </si>
  <si>
    <t>Exp 3: Image Types</t>
  </si>
  <si>
    <t>Effect of unmodified, dots, or painted images on mate copying.</t>
  </si>
  <si>
    <t>Figure 5, Page 5</t>
  </si>
  <si>
    <t>Exp 4: Dots modifications</t>
  </si>
  <si>
    <t>Tested response when eyes or wings were removed on 'dots' images.</t>
  </si>
  <si>
    <t>Figure 6, Page 5</t>
  </si>
  <si>
    <t>Exp 5: Photo modifications</t>
  </si>
  <si>
    <t>Tested response when eyes or wings were removed on unmodified photos.</t>
  </si>
  <si>
    <t>Figure 7, Page 5</t>
  </si>
  <si>
    <t>Standard before-and-after copying test utilizing social information.</t>
  </si>
  <si>
    <t>Table 1, Page 6</t>
  </si>
  <si>
    <t>Consistency control evaluating mate choice without social information.</t>
  </si>
  <si>
    <t>Yes (Mate-copying)</t>
  </si>
  <si>
    <t>Genetic/Photo Trials</t>
  </si>
  <si>
    <t>Tested mushroom body mutants via live and photo demonstration conditions.</t>
  </si>
  <si>
    <t>Figure 2, Page 4</t>
  </si>
  <si>
    <t>Transparent partition allowed observer to view social information.</t>
  </si>
  <si>
    <t>Yes (Uninformed)</t>
  </si>
  <si>
    <t>Uninformed Treatment</t>
  </si>
  <si>
    <t>Opaque partition blocked visual social information entirely.</t>
  </si>
  <si>
    <t>Yes (Informed)</t>
  </si>
  <si>
    <t>LTSM Trial</t>
  </si>
  <si>
    <t>Tested long-term social memory utilizing 5 spaced photo demonstrations.</t>
  </si>
  <si>
    <t>Figure 2, Page 3</t>
  </si>
  <si>
    <t>Exp 1: Video vs Live</t>
  </si>
  <si>
    <t>Females viewed video-mating, video-alone, or live-mating.</t>
  </si>
  <si>
    <t>Figure 2.3, Page 27</t>
  </si>
  <si>
    <t>Exp 2: Switch/Third-male</t>
  </si>
  <si>
    <t>Switch and third-male spatial location consistency tests.</t>
  </si>
  <si>
    <t>Figure 2.4, Page 30</t>
  </si>
  <si>
    <t>Exp 3: Eavesdrop</t>
  </si>
  <si>
    <t>Females eavesdropped on male aggressive encounters.</t>
  </si>
  <si>
    <t>Figure 3.2, Page 38</t>
  </si>
  <si>
    <t>Exp 4: Mirror vs No-mirror</t>
  </si>
  <si>
    <t>Fights viewed through mirror or no-mirror to assess visibility effect.</t>
  </si>
  <si>
    <t>Figure 3.3, Page 41</t>
  </si>
  <si>
    <t>Exp 5: Substitute Female</t>
  </si>
  <si>
    <t>Target males fought while being watched by a female.</t>
  </si>
  <si>
    <t>Exp 6: Prior Experience</t>
  </si>
  <si>
    <t>Effect of virgin vs sexually experienced females on mate choice.</t>
  </si>
  <si>
    <t>Figure 5.3, Page 66</t>
  </si>
  <si>
    <t>Audience female presented was a conspecific.</t>
  </si>
  <si>
    <t>Table 3, Page 4</t>
  </si>
  <si>
    <t>Audience female presented was a heterospecific.</t>
  </si>
  <si>
    <t>Treatment 3 (Control)</t>
  </si>
  <si>
    <t>Tested without any audience female.</t>
  </si>
  <si>
    <t>Focal males tested without a model male present.</t>
  </si>
  <si>
    <t>Figure 2, Page 129</t>
  </si>
  <si>
    <t>Treatment 2 (Matched)</t>
  </si>
  <si>
    <t>Model male matched the focal male in size and coloration.</t>
  </si>
  <si>
    <t>Treatment 3 (Larger)</t>
  </si>
  <si>
    <t>Model male was larger and more colorful than the focal male.</t>
  </si>
  <si>
    <t>Treatment 4 (Smaller)</t>
  </si>
  <si>
    <t>Model male was smaller and less colorful than the focal male.</t>
  </si>
  <si>
    <t>Preference for males using only odor cues and no visual cues.</t>
  </si>
  <si>
    <t>Figure 1, Page 2</t>
  </si>
  <si>
    <t>Female hybridisation choices assessed at generation 6.</t>
  </si>
  <si>
    <t>Table S1, Page 39</t>
  </si>
  <si>
    <t>Gen 10 Assay</t>
  </si>
  <si>
    <t>Female hybridisation choices assessed at generation 10.</t>
  </si>
  <si>
    <t>Table S2, Page 40</t>
  </si>
  <si>
    <t>Visual &amp; Temporal</t>
  </si>
  <si>
    <t>2x2 trial evaluating visual access (barrier/no barrier) and mating delay.</t>
  </si>
  <si>
    <t>Results Text, Page 3</t>
  </si>
  <si>
    <t>Male Social</t>
  </si>
  <si>
    <t>Social mate-choice manipulation in focal males.</t>
  </si>
  <si>
    <t>Figure 2, Page 9</t>
  </si>
  <si>
    <t>Female Social</t>
  </si>
  <si>
    <t>Social mate-choice manipulation in focal females.</t>
  </si>
  <si>
    <t>Figure 3, Page 11</t>
  </si>
  <si>
    <t>Controls 1-3</t>
  </si>
  <si>
    <t>Consistency tests with no audience or where audience was not visible.</t>
  </si>
  <si>
    <t>Tutor Experiment</t>
  </si>
  <si>
    <t>Evaluated juvenile males raised with HP, LP, or solo adult tutors.</t>
  </si>
  <si>
    <t>Figure 5, Page 7</t>
  </si>
  <si>
    <t>Evaluated baseline male preference without an audience.</t>
  </si>
  <si>
    <t>Audience present throughout the entire 2nd test period.</t>
  </si>
  <si>
    <t>Audience present only during the habituation phase.</t>
  </si>
  <si>
    <t>Treatment 4</t>
  </si>
  <si>
    <t>Audience interacted with the previously preferred female.</t>
  </si>
  <si>
    <t>Treatment 5</t>
  </si>
  <si>
    <t>Audience interacted with the previously non-preferred female.</t>
  </si>
  <si>
    <t>Full Contact T1-T5</t>
  </si>
  <si>
    <t>Replicated Ziege 2009 but allowed full physical contact with females.</t>
  </si>
  <si>
    <t>Table 1, Page 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</si>
</sst>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0"/>
      <color rgb="FF000000"/>
      <name val="Arial"/>
      <scheme val="minor"/>
    </font>
    <font>
      <b/>
      <sz val="11"/>
      <color rgb="FF000000"/>
      <name val="Arial"/>
      <family val="2"/>
    </font>
    <font>
      <sz val="11"/>
      <color rgb="FF000000"/>
      <name val="Arial"/>
      <family val="2"/>
    </font>
    <font>
      <sz val="11"/>
      <color rgb="FF1F1F1F"/>
      <name val="Arial"/>
      <family val="2"/>
    </font>
    <font>
      <b/>
      <sz val="11"/>
      <color theme="1"/>
      <name val="Arial"/>
      <family val="2"/>
    </font>
    <font>
      <b/>
      <sz val="12"/>
      <color theme="1"/>
      <name val="Arial"/>
      <family val="2"/>
    </font>
    <font>
      <sz val="10"/>
      <color theme="1"/>
      <name val="Arial"/>
      <family val="2"/>
      <scheme val="minor"/>
    </font>
    <font>
      <sz val="10"/>
      <color rgb="FF1F1F1F"/>
      <name val="&quot;Google Sans Text&quot;"/>
    </font>
    <font>
      <sz val="10"/>
      <color theme="1"/>
      <name val="Arial"/>
      <family val="2"/>
    </font>
    <font>
      <sz val="10"/>
      <color rgb="FF434343"/>
      <name val="Roboto"/>
    </font>
    <font>
      <sz val="10"/>
      <color rgb="FF1F1F1F"/>
      <name val="Google Sans Text"/>
    </font>
    <font>
      <b/>
      <sz val="10"/>
      <color theme="1"/>
      <name val="Arial"/>
      <family val="2"/>
      <scheme val="minor"/>
    </font>
    <font>
      <b/>
      <sz val="12"/>
      <color rgb="FF1F1F1F"/>
      <name val="Arial"/>
      <family val="2"/>
    </font>
    <font>
      <sz val="11"/>
      <name val="Arial"/>
      <family val="2"/>
    </font>
    <font>
      <b/>
      <sz val="11"/>
      <name val="Arial"/>
      <family val="2"/>
    </font>
    <font>
      <sz val="10"/>
      <color rgb="FF434343"/>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rgb="FFFF9900"/>
        <bgColor rgb="FFFF9900"/>
      </patternFill>
    </fill>
  </fills>
  <borders count="5">
    <border>
      <left/>
      <right/>
      <top/>
      <bottom/>
      <diagonal/>
    </border>
    <border>
      <left/>
      <right/>
      <top/>
      <bottom style="thin">
        <color rgb="FF000000"/>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s>
  <cellStyleXfs count="1">
    <xf numFmtId="0" fontId="0" fillId="0" borderId="0"/>
  </cellStyleXfs>
  <cellXfs count="32">
    <xf numFmtId="0" fontId="0" fillId="0" borderId="0" xfId="0"/>
    <xf numFmtId="0" fontId="1" fillId="0" borderId="1" xfId="0" applyFont="1" applyBorder="1" applyAlignment="1">
      <alignment horizontal="left" wrapText="1"/>
    </xf>
    <xf numFmtId="0" fontId="2" fillId="0" borderId="0" xfId="0" applyFont="1" applyAlignment="1">
      <alignment horizontal="left" wrapText="1"/>
    </xf>
    <xf numFmtId="0" fontId="3" fillId="2" borderId="0" xfId="0" applyFont="1" applyFill="1" applyAlignment="1">
      <alignment horizontal="left" wrapText="1"/>
    </xf>
    <xf numFmtId="0" fontId="4" fillId="0" borderId="0" xfId="0" applyFont="1" applyAlignment="1">
      <alignment horizontal="left" vertical="center" wrapText="1"/>
    </xf>
    <xf numFmtId="0" fontId="5" fillId="0" borderId="0" xfId="0" applyFont="1" applyAlignment="1">
      <alignment horizontal="left" vertical="center" wrapText="1"/>
    </xf>
    <xf numFmtId="49" fontId="4" fillId="0" borderId="0" xfId="0" applyNumberFormat="1" applyFont="1" applyAlignment="1">
      <alignment horizontal="left" vertical="center" wrapText="1"/>
    </xf>
    <xf numFmtId="0" fontId="6" fillId="0" borderId="0" xfId="0" applyFont="1" applyAlignment="1">
      <alignment horizontal="left" vertical="center"/>
    </xf>
    <xf numFmtId="0" fontId="6" fillId="0" borderId="0" xfId="0" applyFont="1" applyAlignment="1">
      <alignment vertical="center"/>
    </xf>
    <xf numFmtId="0" fontId="7" fillId="0" borderId="0" xfId="0" applyFont="1" applyAlignment="1">
      <alignment vertical="center"/>
    </xf>
    <xf numFmtId="0" fontId="8" fillId="0" borderId="0" xfId="0" applyFont="1"/>
    <xf numFmtId="0" fontId="9" fillId="3" borderId="2" xfId="0" applyFont="1" applyFill="1" applyBorder="1" applyAlignment="1">
      <alignment vertical="center"/>
    </xf>
    <xf numFmtId="0" fontId="10" fillId="3" borderId="3" xfId="0" applyFont="1" applyFill="1" applyBorder="1" applyAlignment="1">
      <alignment vertical="center"/>
    </xf>
    <xf numFmtId="0" fontId="10" fillId="3" borderId="3" xfId="0" applyFont="1" applyFill="1" applyBorder="1" applyAlignment="1">
      <alignment horizontal="right" vertical="center"/>
    </xf>
    <xf numFmtId="0" fontId="9" fillId="3" borderId="3" xfId="0" applyFont="1" applyFill="1" applyBorder="1" applyAlignment="1">
      <alignment vertical="center"/>
    </xf>
    <xf numFmtId="0" fontId="8" fillId="3" borderId="3" xfId="0" applyFont="1" applyFill="1" applyBorder="1" applyAlignment="1">
      <alignment vertical="center"/>
    </xf>
    <xf numFmtId="0" fontId="8" fillId="3" borderId="0" xfId="0" applyFont="1" applyFill="1" applyAlignment="1">
      <alignment vertical="center"/>
    </xf>
    <xf numFmtId="0" fontId="8" fillId="3" borderId="4" xfId="0" applyFont="1" applyFill="1" applyBorder="1" applyAlignment="1">
      <alignment vertical="center"/>
    </xf>
    <xf numFmtId="0" fontId="7" fillId="4" borderId="0" xfId="0" applyFont="1" applyFill="1" applyAlignment="1">
      <alignment vertical="center"/>
    </xf>
    <xf numFmtId="0" fontId="7" fillId="5" borderId="0" xfId="0" applyFont="1" applyFill="1" applyAlignment="1">
      <alignment vertical="center"/>
    </xf>
    <xf numFmtId="49" fontId="6" fillId="0" borderId="0" xfId="0" applyNumberFormat="1" applyFont="1"/>
    <xf numFmtId="0" fontId="6" fillId="0" borderId="0" xfId="0" applyFont="1"/>
    <xf numFmtId="0" fontId="11" fillId="0" borderId="0" xfId="0" applyFont="1" applyAlignment="1">
      <alignment horizontal="left" vertical="center"/>
    </xf>
    <xf numFmtId="49" fontId="11" fillId="0" borderId="0" xfId="0" applyNumberFormat="1" applyFont="1" applyAlignment="1">
      <alignment horizontal="left" vertical="center"/>
    </xf>
    <xf numFmtId="0" fontId="12" fillId="0" borderId="1" xfId="0" applyFont="1" applyBorder="1" applyAlignment="1">
      <alignment horizontal="left" wrapText="1"/>
    </xf>
    <xf numFmtId="0" fontId="1" fillId="0" borderId="0" xfId="0" applyFont="1" applyAlignment="1">
      <alignment horizontal="left" wrapText="1"/>
    </xf>
    <xf numFmtId="0" fontId="11" fillId="0" borderId="0" xfId="0" applyFont="1" applyAlignment="1">
      <alignment horizontal="left"/>
    </xf>
    <xf numFmtId="0" fontId="6" fillId="0" borderId="0" xfId="0" applyFont="1" applyAlignment="1">
      <alignment horizontal="left"/>
    </xf>
    <xf numFmtId="0" fontId="13" fillId="0" borderId="0" xfId="0" applyFont="1" applyAlignment="1">
      <alignment vertical="top" wrapText="1"/>
    </xf>
    <xf numFmtId="0" fontId="14" fillId="0" borderId="0" xfId="0" applyFont="1" applyAlignment="1">
      <alignment vertical="top" wrapText="1"/>
    </xf>
    <xf numFmtId="0" fontId="9" fillId="0" borderId="0" xfId="0" applyFont="1"/>
    <xf numFmtId="0" fontId="15" fillId="0" borderId="0" xfId="0" applyFont="1"/>
  </cellXfs>
  <cellStyles count="1">
    <cellStyle name="Normal" xfId="0" builtinId="0"/>
  </cellStyles>
  <dxfs count="27">
    <dxf>
      <fill>
        <patternFill patternType="solid">
          <fgColor theme="8"/>
          <bgColor theme="8"/>
        </patternFill>
      </fill>
    </dxf>
    <dxf>
      <fill>
        <patternFill patternType="solid">
          <fgColor rgb="FFFBBC04"/>
          <bgColor rgb="FFFBBC04"/>
        </patternFill>
      </fill>
    </dxf>
    <dxf>
      <fill>
        <patternFill patternType="solid">
          <fgColor rgb="FFB7E1CD"/>
          <bgColor rgb="FFB7E1C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6" defaultTableStyle="TableStyleMedium9" defaultPivotStyle="PivotStyleLight16">
    <tableStyle name="EduardoExtraction-style" pivot="0" count="4" xr9:uid="{00000000-0011-0000-FFFF-FFFF00000000}">
      <tableStyleElement type="wholeTable" size="0" dxfId="23"/>
      <tableStyleElement type="headerRow" dxfId="26"/>
      <tableStyleElement type="firstRowStripe" dxfId="25"/>
      <tableStyleElement type="secondRowStripe" dxfId="24"/>
    </tableStyle>
    <tableStyle name="ExtractionComplexityNotebookLM-style" pivot="0" count="4" xr9:uid="{00000000-0011-0000-FFFF-FFFF01000000}">
      <tableStyleElement type="wholeTable" size="0" dxfId="19"/>
      <tableStyleElement type="headerRow" dxfId="22"/>
      <tableStyleElement type="firstRowStripe" dxfId="21"/>
      <tableStyleElement type="secondRowStripe" dxfId="20"/>
    </tableStyle>
    <tableStyle name="AgenticDataExtraction-style" pivot="0" count="4" xr9:uid="{00000000-0011-0000-FFFF-FFFF02000000}">
      <tableStyleElement type="wholeTable" size="0" dxfId="15"/>
      <tableStyleElement type="headerRow" dxfId="18"/>
      <tableStyleElement type="firstRowStripe" dxfId="17"/>
      <tableStyleElement type="secondRowStripe" dxfId="16"/>
    </tableStyle>
    <tableStyle name="AgenticDataExtraction2-style" pivot="0" count="4" xr9:uid="{00000000-0011-0000-FFFF-FFFF03000000}">
      <tableStyleElement type="wholeTable" size="0" dxfId="11"/>
      <tableStyleElement type="headerRow" dxfId="14"/>
      <tableStyleElement type="firstRowStripe" dxfId="13"/>
      <tableStyleElement type="secondRowStripe" dxfId="12"/>
    </tableStyle>
    <tableStyle name="LabIdentifierNotebookLM-style" pivot="0" count="4" xr9:uid="{00000000-0011-0000-FFFF-FFFF04000000}">
      <tableStyleElement type="wholeTable" size="0" dxfId="7"/>
      <tableStyleElement type="headerRow" dxfId="10"/>
      <tableStyleElement type="firstRowStripe" dxfId="9"/>
      <tableStyleElement type="secondRowStripe" dxfId="8"/>
    </tableStyle>
    <tableStyle name="MappingTrialLevelData-style" pivot="0" count="4" xr9:uid="{00000000-0011-0000-FFFF-FFFF05000000}">
      <tableStyleElement type="wholeTable" size="0" dxfId="3"/>
      <tableStyleElement type="headerRow" dxfId="6"/>
      <tableStyleElement type="firstRowStripe" dxfId="5"/>
      <tableStyleElement type="secondRowStripe"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6" displayName="Table6" ref="A1:AU77">
  <autoFilter ref="A1:AU77" xr:uid="{00000000-0009-0000-0100-000001000000}"/>
  <tableColumns count="47">
    <tableColumn id="1" xr3:uid="{00000000-0010-0000-0000-000001000000}" name="identifierExtractor"/>
    <tableColumn id="2" xr3:uid="{00000000-0010-0000-0000-000002000000}" name="identifierStudyId"/>
    <tableColumn id="3" xr3:uid="{00000000-0010-0000-0000-000003000000}" name="identifierStudyYear"/>
    <tableColumn id="4" xr3:uid="{00000000-0010-0000-0000-000004000000}" name="identifierStudyDoi"/>
    <tableColumn id="5" xr3:uid="{00000000-0010-0000-0000-000005000000}" name="taxonomySpecies"/>
    <tableColumn id="6" xr3:uid="{00000000-0010-0000-0000-000006000000}" name="experimentalSpeciesOrigin"/>
    <tableColumn id="7" xr3:uid="{00000000-0010-0000-0000-000007000000}" name="identifierExperimentId"/>
    <tableColumn id="8" xr3:uid="{00000000-0010-0000-0000-000008000000}" name="experimentalDesignType"/>
    <tableColumn id="9" xr3:uid="{00000000-0010-0000-0000-000009000000}" name="experimentalModelPairing"/>
    <tableColumn id="10" xr3:uid="{00000000-0010-0000-0000-00000A000000}" name="experimentalTypeCopyingMechanism"/>
    <tableColumn id="11" xr3:uid="{00000000-0010-0000-0000-00000B000000}" name="experimentalTypeStimulus"/>
    <tableColumn id="12" xr3:uid="{00000000-0010-0000-0000-00000C000000}" name="experimentalTypeChoiceTest"/>
    <tableColumn id="13" xr3:uid="{00000000-0010-0000-0000-00000D000000}" name="experimentalTypeTestDescription"/>
    <tableColumn id="14" xr3:uid="{00000000-0010-0000-0000-00000E000000}" name="experimentalTypeSex"/>
    <tableColumn id="15" xr3:uid="{00000000-0010-0000-0000-00000F000000}" name="experimentalTypeVirgin"/>
    <tableColumn id="16" xr3:uid="{00000000-0010-0000-0000-000010000000}" name="experimentalModelAge"/>
    <tableColumn id="17" xr3:uid="{00000000-0010-0000-0000-000011000000}" name="effectSizeSourceType"/>
    <tableColumn id="18" xr3:uid="{00000000-0010-0000-0000-000012000000}" name="effectSizeSourceDetails"/>
    <tableColumn id="19" xr3:uid="{00000000-0010-0000-0000-000013000000}" name="effectSizeEstimateType"/>
    <tableColumn id="20" xr3:uid="{00000000-0010-0000-0000-000014000000}" name="effectSizeEstimateValue"/>
    <tableColumn id="21" xr3:uid="{00000000-0010-0000-0000-000015000000}" name="effectSizeEstimateExtra"/>
    <tableColumn id="22" xr3:uid="{00000000-0010-0000-0000-000016000000}" name="effectSizeEstimateNotes"/>
    <tableColumn id="23" xr3:uid="{00000000-0010-0000-0000-000017000000}" name="effectSizeDirection"/>
    <tableColumn id="24" xr3:uid="{00000000-0010-0000-0000-000018000000}" name="effectSizeSampleSizeA"/>
    <tableColumn id="25" xr3:uid="{00000000-0010-0000-0000-000019000000}" name="effectSizeSampleSizeB"/>
    <tableColumn id="26" xr3:uid="{00000000-0010-0000-0000-00001A000000}" name="effectSizeSampleSizeC"/>
    <tableColumn id="27" xr3:uid="{00000000-0010-0000-0000-00001B000000}" name="effectSizeSampleSizeD"/>
    <tableColumn id="28" xr3:uid="{00000000-0010-0000-0000-00001C000000}" name="effectSizesampleSize"/>
    <tableColumn id="29" xr3:uid="{00000000-0010-0000-0000-00001D000000}" name="controlMean"/>
    <tableColumn id="30" xr3:uid="{00000000-0010-0000-0000-00001E000000}" name="controlSD"/>
    <tableColumn id="31" xr3:uid="{00000000-0010-0000-0000-00001F000000}" name="controlSE"/>
    <tableColumn id="32" xr3:uid="{00000000-0010-0000-0000-000020000000}" name="controlN"/>
    <tableColumn id="33" xr3:uid="{00000000-0010-0000-0000-000021000000}" name="treatmentMean"/>
    <tableColumn id="34" xr3:uid="{00000000-0010-0000-0000-000022000000}" name="treatmentSD"/>
    <tableColumn id="35" xr3:uid="{00000000-0010-0000-0000-000023000000}" name="treatmentSE"/>
    <tableColumn id="36" xr3:uid="{00000000-0010-0000-0000-000024000000}" name="treatmentN"/>
    <tableColumn id="37" xr3:uid="{00000000-0010-0000-0000-000025000000}" name="descritionStudyComplexity"/>
    <tableColumn id="38" xr3:uid="{00000000-0010-0000-0000-000026000000}" name="effectSizeDataTypeForCalculation"/>
    <tableColumn id="39" xr3:uid="{00000000-0010-0000-0000-000027000000}" name="descriptionGeneralNote"/>
    <tableColumn id="40" xr3:uid="{00000000-0010-0000-0000-000028000000}" name="effectSizeCalculatedHedgesD"/>
    <tableColumn id="41" xr3:uid="{00000000-0010-0000-0000-000029000000}" name="effectSizeCalculatedHedgesDVariance"/>
    <tableColumn id="42" xr3:uid="{00000000-0010-0000-0000-00002A000000}" name="effectSizeHedgesDHowCalculated"/>
    <tableColumn id="43" xr3:uid="{00000000-0010-0000-0000-00002B000000}" name="effectSizeCalculatedOddsRatio"/>
    <tableColumn id="44" xr3:uid="{00000000-0010-0000-0000-00002C000000}" name="effectSizeCalculatedOddsRatioVariance"/>
    <tableColumn id="45" xr3:uid="{00000000-0010-0000-0000-00002D000000}" name="effectSizeOddsRatioHowCalculated"/>
    <tableColumn id="46" xr3:uid="{00000000-0010-0000-0000-00002E000000}" name="InformationCheckedColumnsFilled"/>
    <tableColumn id="47" xr3:uid="{00000000-0010-0000-0000-00002F000000}" name="RemoveFromDataset"/>
  </tableColumns>
  <tableStyleInfo name="EduardoExtraction-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1000">
  <tableColumns count="8">
    <tableColumn id="1" xr3:uid="{00000000-0010-0000-0100-000001000000}" name="Study ID"/>
    <tableColumn id="2" xr3:uid="{00000000-0010-0000-0100-000002000000}" name="Species"/>
    <tableColumn id="3" xr3:uid="{00000000-0010-0000-0100-000003000000}" name="Lab Identifier"/>
    <tableColumn id="4" xr3:uid="{00000000-0010-0000-0100-000004000000}" name="Complexity Tier"/>
    <tableColumn id="5" xr3:uid="{00000000-0010-0000-0100-000005000000}" name="Reasoning for Tier"/>
    <tableColumn id="6" xr3:uid="{00000000-0010-0000-0100-000006000000}" name="ES Calculation Method"/>
    <tableColumn id="7" xr3:uid="{00000000-0010-0000-0100-000007000000}" name="EdValidationOfComplexity"/>
    <tableColumn id="8" xr3:uid="{00000000-0010-0000-0100-000008000000}" name="EdsNotes"/>
  </tableColumns>
  <tableStyleInfo name="ExtractionComplexityNotebookLM-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I45">
  <autoFilter ref="A1:I45" xr:uid="{00000000-0009-0000-0100-000003000000}"/>
  <tableColumns count="9">
    <tableColumn id="1" xr3:uid="{00000000-0010-0000-0200-000001000000}" name="Study ID"/>
    <tableColumn id="2" xr3:uid="{00000000-0010-0000-0200-000002000000}" name="Trial ID"/>
    <tableColumn id="3" xr3:uid="{00000000-0010-0000-0200-000003000000}" name="Response Metric"/>
    <tableColumn id="4" xr3:uid="{00000000-0010-0000-0200-000004000000}" name="Validated Exp Group Data"/>
    <tableColumn id="5" xr3:uid="{00000000-0010-0000-0200-000005000000}" name="Validated Control Group Data"/>
    <tableColumn id="6" xr3:uid="{00000000-0010-0000-0200-000006000000}" name="SD or SE?"/>
    <tableColumn id="7" xr3:uid="{00000000-0010-0000-0200-000007000000}" name="Agent 1 Initial Pull"/>
    <tableColumn id="8" xr3:uid="{00000000-0010-0000-0200-000008000000}" name="Agent 2 Verification Notes"/>
    <tableColumn id="9" xr3:uid="{00000000-0010-0000-0200-000009000000}" name="Verification Location"/>
  </tableColumns>
  <tableStyleInfo name="AgenticDataExtraction-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5" displayName="Table5" ref="A1:I47">
  <autoFilter ref="A1:I47" xr:uid="{00000000-0009-0000-0100-000004000000}"/>
  <tableColumns count="9">
    <tableColumn id="1" xr3:uid="{00000000-0010-0000-0300-000001000000}" name="Study ID"/>
    <tableColumn id="2" xr3:uid="{00000000-0010-0000-0300-000002000000}" name="Trial ID"/>
    <tableColumn id="3" xr3:uid="{00000000-0010-0000-0300-000003000000}" name="Response Metric"/>
    <tableColumn id="4" xr3:uid="{00000000-0010-0000-0300-000004000000}" name="Validated Exp Group Data"/>
    <tableColumn id="5" xr3:uid="{00000000-0010-0000-0300-000005000000}" name="Validated Control Group Data"/>
    <tableColumn id="6" xr3:uid="{00000000-0010-0000-0300-000006000000}" name="SD or SE?"/>
    <tableColumn id="7" xr3:uid="{00000000-0010-0000-0300-000007000000}" name="Agent 1 Initial Pull"/>
    <tableColumn id="8" xr3:uid="{00000000-0010-0000-0300-000008000000}" name="Agent 2 Verification Notes"/>
    <tableColumn id="9" xr3:uid="{00000000-0010-0000-0300-000009000000}" name="Verification Location"/>
  </tableColumns>
  <tableStyleInfo name="AgenticDataExtraction2-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1" displayName="Table1" ref="A1:G38">
  <tableColumns count="7">
    <tableColumn id="1" xr3:uid="{00000000-0010-0000-0400-000001000000}" name="Study ID"/>
    <tableColumn id="2" xr3:uid="{00000000-0010-0000-0400-000002000000}" name="Species"/>
    <tableColumn id="3" xr3:uid="{00000000-0010-0000-0400-000003000000}" name="First Author"/>
    <tableColumn id="4" xr3:uid="{00000000-0010-0000-0400-000004000000}" name="Last Author"/>
    <tableColumn id="5" xr3:uid="{00000000-0010-0000-0400-000005000000}" name="Corresponding Author"/>
    <tableColumn id="6" xr3:uid="{00000000-0010-0000-0400-000006000000}" name="Lab Identifier"/>
    <tableColumn id="7" xr3:uid="{00000000-0010-0000-0400-000007000000}" name="Collaboration Status"/>
  </tableColumns>
  <tableStyleInfo name="LabIdentifierNotebookLM-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 displayName="Table3" ref="A1:G108">
  <autoFilter ref="A1:G108" xr:uid="{00000000-0009-0000-0100-000006000000}"/>
  <tableColumns count="7">
    <tableColumn id="1" xr3:uid="{00000000-0010-0000-0500-000001000000}" name="Study ID"/>
    <tableColumn id="2" xr3:uid="{00000000-0010-0000-0500-000002000000}" name="Trial ID"/>
    <tableColumn id="3" xr3:uid="{00000000-0010-0000-0500-000003000000}" name="Trial Description"/>
    <tableColumn id="4" xr3:uid="{00000000-0010-0000-0500-000004000000}" name="Sample Size (N)"/>
    <tableColumn id="5" xr3:uid="{00000000-0010-0000-0500-000005000000}" name="Subject Independence"/>
    <tableColumn id="6" xr3:uid="{00000000-0010-0000-0500-000006000000}" name="Control Group Shared"/>
    <tableColumn id="7" xr3:uid="{00000000-0010-0000-0500-000007000000}" name="Data Location (CRITICAL)"/>
  </tableColumns>
  <tableStyleInfo name="MappingTrialLevel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49"/>
  <sheetViews>
    <sheetView workbookViewId="0"/>
  </sheetViews>
  <sheetFormatPr baseColWidth="10" defaultColWidth="12.6640625" defaultRowHeight="15.75" customHeight="1"/>
  <cols>
    <col min="1" max="1" width="32.1640625" customWidth="1"/>
    <col min="2" max="2" width="41.6640625" customWidth="1"/>
    <col min="3" max="3" width="38.1640625" customWidth="1"/>
    <col min="4" max="4" width="31.6640625" customWidth="1"/>
    <col min="5" max="5" width="34.33203125" customWidth="1"/>
  </cols>
  <sheetData>
    <row r="1" spans="1:6" ht="15.75" customHeight="1">
      <c r="A1" s="1" t="s">
        <v>0</v>
      </c>
      <c r="B1" s="1" t="s">
        <v>1</v>
      </c>
      <c r="C1" s="1" t="s">
        <v>2</v>
      </c>
      <c r="D1" s="1" t="s">
        <v>3</v>
      </c>
      <c r="E1" s="1" t="s">
        <v>4</v>
      </c>
      <c r="F1" s="29" t="s">
        <v>5</v>
      </c>
    </row>
    <row r="2" spans="1:6" ht="15.75" customHeight="1">
      <c r="A2" s="2" t="s">
        <v>6</v>
      </c>
      <c r="B2" s="2" t="s">
        <v>7</v>
      </c>
      <c r="C2" s="2" t="s">
        <v>8</v>
      </c>
      <c r="D2" s="2" t="s">
        <v>9</v>
      </c>
      <c r="E2" s="2" t="s">
        <v>9</v>
      </c>
      <c r="F2" s="28" t="s">
        <v>10</v>
      </c>
    </row>
    <row r="3" spans="1:6" ht="15.75" customHeight="1">
      <c r="A3" t="s">
        <v>11</v>
      </c>
      <c r="B3" t="s">
        <v>12</v>
      </c>
      <c r="C3" t="s">
        <v>13</v>
      </c>
      <c r="D3" t="s">
        <v>9</v>
      </c>
      <c r="E3" t="s">
        <v>9</v>
      </c>
      <c r="F3" t="s">
        <v>14</v>
      </c>
    </row>
    <row r="4" spans="1:6" ht="15.75" customHeight="1">
      <c r="A4" s="2" t="s">
        <v>15</v>
      </c>
      <c r="B4" s="2" t="s">
        <v>16</v>
      </c>
      <c r="C4" s="2" t="s">
        <v>17</v>
      </c>
      <c r="D4" s="2" t="s">
        <v>18</v>
      </c>
      <c r="E4" s="2" t="s">
        <v>18</v>
      </c>
      <c r="F4" s="28" t="s">
        <v>10</v>
      </c>
    </row>
    <row r="5" spans="1:6" ht="15.75" customHeight="1">
      <c r="A5" s="2" t="s">
        <v>19</v>
      </c>
      <c r="B5" s="2" t="s">
        <v>20</v>
      </c>
      <c r="C5" s="2" t="s">
        <v>21</v>
      </c>
      <c r="D5" s="2" t="s">
        <v>18</v>
      </c>
      <c r="E5" s="2" t="s">
        <v>18</v>
      </c>
      <c r="F5" s="28" t="s">
        <v>10</v>
      </c>
    </row>
    <row r="6" spans="1:6" ht="15.75" customHeight="1">
      <c r="A6" s="2" t="s">
        <v>22</v>
      </c>
      <c r="B6" s="2" t="s">
        <v>23</v>
      </c>
      <c r="C6" s="2" t="s">
        <v>24</v>
      </c>
      <c r="D6" s="2" t="s">
        <v>9</v>
      </c>
      <c r="E6" s="2" t="s">
        <v>9</v>
      </c>
      <c r="F6" s="28" t="s">
        <v>10</v>
      </c>
    </row>
    <row r="7" spans="1:6" ht="15.75" customHeight="1">
      <c r="A7" s="2" t="s">
        <v>25</v>
      </c>
      <c r="B7" s="2" t="s">
        <v>26</v>
      </c>
      <c r="C7" s="2" t="s">
        <v>27</v>
      </c>
      <c r="D7" s="2" t="s">
        <v>18</v>
      </c>
      <c r="E7" s="2" t="s">
        <v>18</v>
      </c>
      <c r="F7" s="28" t="s">
        <v>10</v>
      </c>
    </row>
    <row r="8" spans="1:6" ht="15.75" customHeight="1">
      <c r="A8" s="2" t="s">
        <v>28</v>
      </c>
      <c r="B8" s="2" t="s">
        <v>29</v>
      </c>
      <c r="C8" s="2" t="s">
        <v>30</v>
      </c>
      <c r="D8" s="2" t="s">
        <v>18</v>
      </c>
      <c r="E8" s="2" t="s">
        <v>18</v>
      </c>
      <c r="F8" s="28" t="s">
        <v>10</v>
      </c>
    </row>
    <row r="9" spans="1:6" ht="15.75" customHeight="1">
      <c r="A9" s="2" t="s">
        <v>31</v>
      </c>
      <c r="B9" s="2" t="s">
        <v>32</v>
      </c>
      <c r="C9" s="2" t="s">
        <v>33</v>
      </c>
      <c r="D9" s="2" t="s">
        <v>18</v>
      </c>
      <c r="E9" s="2" t="s">
        <v>18</v>
      </c>
      <c r="F9" s="28" t="s">
        <v>10</v>
      </c>
    </row>
    <row r="10" spans="1:6" ht="15.75" customHeight="1">
      <c r="A10" s="2" t="s">
        <v>34</v>
      </c>
      <c r="B10" s="2" t="s">
        <v>35</v>
      </c>
      <c r="C10" s="2" t="s">
        <v>36</v>
      </c>
      <c r="D10" s="2" t="s">
        <v>9</v>
      </c>
      <c r="E10" s="2" t="s">
        <v>18</v>
      </c>
      <c r="F10" s="28" t="s">
        <v>10</v>
      </c>
    </row>
    <row r="11" spans="1:6" ht="15.75" customHeight="1">
      <c r="A11" s="2" t="s">
        <v>37</v>
      </c>
      <c r="B11" s="2" t="s">
        <v>38</v>
      </c>
      <c r="C11" s="2" t="s">
        <v>39</v>
      </c>
      <c r="D11" s="2" t="s">
        <v>9</v>
      </c>
      <c r="E11" s="2" t="s">
        <v>18</v>
      </c>
      <c r="F11" s="28" t="s">
        <v>10</v>
      </c>
    </row>
    <row r="12" spans="1:6" ht="15.75" customHeight="1">
      <c r="A12" s="2" t="s">
        <v>40</v>
      </c>
      <c r="B12" s="3" t="s">
        <v>41</v>
      </c>
      <c r="C12" s="2" t="s">
        <v>42</v>
      </c>
      <c r="D12" s="2" t="s">
        <v>9</v>
      </c>
      <c r="E12" s="2" t="s">
        <v>18</v>
      </c>
      <c r="F12" s="28" t="s">
        <v>10</v>
      </c>
    </row>
    <row r="13" spans="1:6" ht="15.75" customHeight="1">
      <c r="A13" s="2" t="s">
        <v>43</v>
      </c>
      <c r="B13" s="3" t="s">
        <v>44</v>
      </c>
      <c r="C13" s="2" t="s">
        <v>45</v>
      </c>
      <c r="D13" s="2"/>
      <c r="E13" s="2"/>
      <c r="F13" s="28" t="s">
        <v>10</v>
      </c>
    </row>
    <row r="14" spans="1:6" ht="15.75" customHeight="1">
      <c r="A14" s="2" t="s">
        <v>46</v>
      </c>
      <c r="B14" s="2" t="s">
        <v>47</v>
      </c>
      <c r="C14" s="2" t="s">
        <v>48</v>
      </c>
      <c r="D14" s="2" t="s">
        <v>9</v>
      </c>
      <c r="E14" s="2" t="s">
        <v>18</v>
      </c>
      <c r="F14" s="28" t="s">
        <v>10</v>
      </c>
    </row>
    <row r="15" spans="1:6" ht="15.75" customHeight="1">
      <c r="A15" s="2" t="s">
        <v>49</v>
      </c>
      <c r="B15" s="2" t="s">
        <v>50</v>
      </c>
      <c r="C15" s="2" t="s">
        <v>51</v>
      </c>
      <c r="D15" s="2" t="s">
        <v>9</v>
      </c>
      <c r="E15" s="2" t="s">
        <v>18</v>
      </c>
      <c r="F15" s="28" t="s">
        <v>10</v>
      </c>
    </row>
    <row r="16" spans="1:6" ht="15.75" customHeight="1">
      <c r="A16" s="2" t="s">
        <v>52</v>
      </c>
      <c r="B16" s="2" t="s">
        <v>53</v>
      </c>
      <c r="C16" s="2" t="s">
        <v>54</v>
      </c>
      <c r="D16" s="2" t="s">
        <v>9</v>
      </c>
      <c r="E16" s="2" t="s">
        <v>18</v>
      </c>
      <c r="F16" s="28" t="s">
        <v>10</v>
      </c>
    </row>
    <row r="17" spans="1:6" ht="15.75" customHeight="1">
      <c r="A17" s="2" t="s">
        <v>55</v>
      </c>
      <c r="B17" s="2" t="s">
        <v>56</v>
      </c>
      <c r="C17" s="2" t="s">
        <v>57</v>
      </c>
      <c r="D17" s="2" t="s">
        <v>18</v>
      </c>
      <c r="E17" s="2" t="s">
        <v>9</v>
      </c>
      <c r="F17" s="28" t="s">
        <v>10</v>
      </c>
    </row>
    <row r="18" spans="1:6" ht="15.75" customHeight="1">
      <c r="A18" s="2" t="s">
        <v>58</v>
      </c>
      <c r="B18" s="2" t="s">
        <v>59</v>
      </c>
      <c r="C18" s="2" t="s">
        <v>60</v>
      </c>
      <c r="D18" s="2" t="s">
        <v>18</v>
      </c>
      <c r="E18" s="2" t="s">
        <v>9</v>
      </c>
      <c r="F18" s="28" t="s">
        <v>10</v>
      </c>
    </row>
    <row r="19" spans="1:6" ht="15.75" customHeight="1">
      <c r="A19" s="2" t="s">
        <v>61</v>
      </c>
      <c r="B19" s="2" t="s">
        <v>62</v>
      </c>
      <c r="C19" s="2" t="s">
        <v>63</v>
      </c>
      <c r="D19" s="2" t="s">
        <v>9</v>
      </c>
      <c r="E19" s="2" t="s">
        <v>9</v>
      </c>
      <c r="F19" s="28" t="s">
        <v>10</v>
      </c>
    </row>
    <row r="20" spans="1:6" ht="15.75" customHeight="1">
      <c r="A20" s="2" t="s">
        <v>64</v>
      </c>
      <c r="B20" s="2" t="s">
        <v>65</v>
      </c>
      <c r="C20" s="2" t="s">
        <v>66</v>
      </c>
      <c r="D20" s="2" t="s">
        <v>9</v>
      </c>
      <c r="E20" s="2" t="s">
        <v>9</v>
      </c>
      <c r="F20" s="28" t="s">
        <v>10</v>
      </c>
    </row>
    <row r="21" spans="1:6" ht="15.75" customHeight="1">
      <c r="A21" s="2" t="s">
        <v>67</v>
      </c>
      <c r="B21" s="2" t="s">
        <v>68</v>
      </c>
      <c r="C21" s="2" t="s">
        <v>69</v>
      </c>
      <c r="D21" s="2" t="s">
        <v>9</v>
      </c>
      <c r="E21" s="2" t="s">
        <v>18</v>
      </c>
      <c r="F21" s="28" t="s">
        <v>10</v>
      </c>
    </row>
    <row r="22" spans="1:6" ht="15.75" customHeight="1">
      <c r="A22" s="2" t="s">
        <v>70</v>
      </c>
      <c r="B22" s="2" t="s">
        <v>71</v>
      </c>
      <c r="C22" s="2" t="s">
        <v>72</v>
      </c>
      <c r="D22" s="2" t="s">
        <v>9</v>
      </c>
      <c r="E22" s="2" t="s">
        <v>18</v>
      </c>
      <c r="F22" s="28" t="s">
        <v>10</v>
      </c>
    </row>
    <row r="23" spans="1:6" ht="15.75" customHeight="1">
      <c r="A23" s="2" t="s">
        <v>73</v>
      </c>
      <c r="B23" s="2" t="s">
        <v>74</v>
      </c>
      <c r="C23" s="2" t="s">
        <v>75</v>
      </c>
      <c r="D23" s="2" t="s">
        <v>9</v>
      </c>
      <c r="E23" s="2" t="s">
        <v>18</v>
      </c>
      <c r="F23" s="28" t="s">
        <v>10</v>
      </c>
    </row>
    <row r="24" spans="1:6" ht="15.75" customHeight="1">
      <c r="A24" s="2" t="s">
        <v>76</v>
      </c>
      <c r="B24" s="2" t="s">
        <v>77</v>
      </c>
      <c r="C24" s="2" t="s">
        <v>78</v>
      </c>
      <c r="D24" s="2" t="s">
        <v>9</v>
      </c>
      <c r="E24" s="2" t="s">
        <v>9</v>
      </c>
      <c r="F24" s="28" t="s">
        <v>10</v>
      </c>
    </row>
    <row r="25" spans="1:6" ht="15.75" customHeight="1">
      <c r="A25" s="2" t="s">
        <v>79</v>
      </c>
      <c r="B25" s="2" t="s">
        <v>80</v>
      </c>
      <c r="C25" s="2" t="s">
        <v>72</v>
      </c>
      <c r="D25" s="2" t="s">
        <v>9</v>
      </c>
      <c r="E25" s="2" t="s">
        <v>9</v>
      </c>
      <c r="F25" s="28" t="s">
        <v>10</v>
      </c>
    </row>
    <row r="26" spans="1:6" ht="15.75" customHeight="1">
      <c r="A26" s="2" t="s">
        <v>81</v>
      </c>
      <c r="B26" s="2" t="s">
        <v>82</v>
      </c>
      <c r="C26" s="2" t="s">
        <v>72</v>
      </c>
      <c r="D26" s="2" t="s">
        <v>9</v>
      </c>
      <c r="E26" s="2" t="s">
        <v>9</v>
      </c>
      <c r="F26" s="28" t="s">
        <v>10</v>
      </c>
    </row>
    <row r="27" spans="1:6" ht="15.75" customHeight="1">
      <c r="A27" s="2" t="s">
        <v>83</v>
      </c>
      <c r="B27" s="2" t="s">
        <v>84</v>
      </c>
      <c r="C27" s="2" t="s">
        <v>72</v>
      </c>
      <c r="D27" s="2" t="s">
        <v>9</v>
      </c>
      <c r="E27" s="2" t="s">
        <v>9</v>
      </c>
      <c r="F27" s="28" t="s">
        <v>10</v>
      </c>
    </row>
    <row r="28" spans="1:6" ht="15.75" customHeight="1">
      <c r="A28" s="2" t="s">
        <v>85</v>
      </c>
      <c r="B28" s="2" t="s">
        <v>86</v>
      </c>
      <c r="C28" s="2" t="s">
        <v>72</v>
      </c>
      <c r="D28" s="2" t="s">
        <v>9</v>
      </c>
      <c r="E28" s="2" t="s">
        <v>9</v>
      </c>
      <c r="F28" s="28" t="s">
        <v>10</v>
      </c>
    </row>
    <row r="29" spans="1:6" ht="15.75" customHeight="1">
      <c r="A29" s="2" t="s">
        <v>87</v>
      </c>
      <c r="B29" s="2" t="s">
        <v>88</v>
      </c>
      <c r="C29" s="2" t="s">
        <v>89</v>
      </c>
      <c r="D29" s="2" t="s">
        <v>9</v>
      </c>
      <c r="E29" s="2" t="s">
        <v>18</v>
      </c>
      <c r="F29" s="28" t="s">
        <v>10</v>
      </c>
    </row>
    <row r="30" spans="1:6" ht="15.75" customHeight="1">
      <c r="A30" s="2" t="s">
        <v>90</v>
      </c>
      <c r="B30" s="2" t="s">
        <v>91</v>
      </c>
      <c r="C30" s="2" t="s">
        <v>92</v>
      </c>
      <c r="D30" s="2" t="s">
        <v>9</v>
      </c>
      <c r="E30" s="2" t="s">
        <v>9</v>
      </c>
      <c r="F30" s="28" t="s">
        <v>10</v>
      </c>
    </row>
    <row r="31" spans="1:6" ht="15.75" customHeight="1">
      <c r="A31" s="2" t="s">
        <v>93</v>
      </c>
      <c r="B31" s="2" t="s">
        <v>94</v>
      </c>
      <c r="C31" s="2" t="s">
        <v>95</v>
      </c>
      <c r="D31" s="2" t="s">
        <v>9</v>
      </c>
      <c r="E31" s="2" t="s">
        <v>9</v>
      </c>
      <c r="F31" s="28" t="s">
        <v>10</v>
      </c>
    </row>
    <row r="32" spans="1:6" ht="15.75" customHeight="1">
      <c r="A32" s="28" t="s">
        <v>96</v>
      </c>
      <c r="B32" s="28" t="s">
        <v>97</v>
      </c>
      <c r="C32" s="28" t="s">
        <v>98</v>
      </c>
      <c r="D32" s="28" t="s">
        <v>9</v>
      </c>
      <c r="E32" s="28" t="s">
        <v>9</v>
      </c>
      <c r="F32" s="28" t="s">
        <v>14</v>
      </c>
    </row>
    <row r="33" spans="1:6" ht="15.75" customHeight="1">
      <c r="A33" s="28" t="s">
        <v>99</v>
      </c>
      <c r="B33" s="28" t="s">
        <v>100</v>
      </c>
      <c r="C33" s="28" t="s">
        <v>101</v>
      </c>
      <c r="D33" s="28" t="s">
        <v>9</v>
      </c>
      <c r="E33" s="28" t="s">
        <v>9</v>
      </c>
      <c r="F33" s="28" t="s">
        <v>14</v>
      </c>
    </row>
    <row r="34" spans="1:6" ht="15.75" customHeight="1">
      <c r="A34" s="28" t="s">
        <v>102</v>
      </c>
      <c r="B34" s="28" t="s">
        <v>103</v>
      </c>
      <c r="C34" s="28" t="s">
        <v>104</v>
      </c>
      <c r="D34" s="28" t="s">
        <v>9</v>
      </c>
      <c r="E34" s="28" t="s">
        <v>9</v>
      </c>
      <c r="F34" s="28" t="s">
        <v>14</v>
      </c>
    </row>
    <row r="35" spans="1:6" ht="15.75" customHeight="1">
      <c r="A35" s="28" t="s">
        <v>105</v>
      </c>
      <c r="B35" s="28" t="s">
        <v>106</v>
      </c>
      <c r="C35" s="28" t="s">
        <v>107</v>
      </c>
      <c r="D35" s="28" t="s">
        <v>9</v>
      </c>
      <c r="E35" s="28" t="s">
        <v>9</v>
      </c>
      <c r="F35" s="28" t="s">
        <v>14</v>
      </c>
    </row>
    <row r="36" spans="1:6" ht="15.75" customHeight="1">
      <c r="A36" s="28" t="s">
        <v>108</v>
      </c>
      <c r="B36" s="28" t="s">
        <v>109</v>
      </c>
      <c r="C36" s="28" t="s">
        <v>110</v>
      </c>
      <c r="D36" s="28" t="s">
        <v>9</v>
      </c>
      <c r="E36" s="28" t="s">
        <v>9</v>
      </c>
      <c r="F36" s="28" t="s">
        <v>14</v>
      </c>
    </row>
    <row r="37" spans="1:6" ht="15.75" customHeight="1">
      <c r="A37" s="28" t="s">
        <v>111</v>
      </c>
      <c r="B37" s="28" t="s">
        <v>112</v>
      </c>
      <c r="C37" s="28" t="s">
        <v>113</v>
      </c>
      <c r="D37" s="28" t="s">
        <v>9</v>
      </c>
      <c r="E37" s="28" t="s">
        <v>9</v>
      </c>
      <c r="F37" s="28" t="s">
        <v>14</v>
      </c>
    </row>
    <row r="38" spans="1:6" ht="15.75" customHeight="1">
      <c r="A38" s="28" t="s">
        <v>114</v>
      </c>
      <c r="B38" s="28" t="s">
        <v>115</v>
      </c>
      <c r="C38" s="28" t="s">
        <v>116</v>
      </c>
      <c r="D38" s="28" t="s">
        <v>9</v>
      </c>
      <c r="E38" s="28" t="s">
        <v>9</v>
      </c>
      <c r="F38" s="28" t="s">
        <v>14</v>
      </c>
    </row>
    <row r="39" spans="1:6" ht="15.75" customHeight="1">
      <c r="A39" s="28" t="s">
        <v>117</v>
      </c>
      <c r="B39" s="28" t="s">
        <v>118</v>
      </c>
      <c r="C39" s="28" t="s">
        <v>119</v>
      </c>
      <c r="D39" s="28" t="s">
        <v>9</v>
      </c>
      <c r="E39" s="28" t="s">
        <v>9</v>
      </c>
      <c r="F39" s="28" t="s">
        <v>14</v>
      </c>
    </row>
    <row r="40" spans="1:6" ht="15.75" customHeight="1">
      <c r="A40" s="28" t="s">
        <v>120</v>
      </c>
      <c r="B40" s="28" t="s">
        <v>121</v>
      </c>
      <c r="C40" s="28" t="s">
        <v>122</v>
      </c>
      <c r="D40" s="28" t="s">
        <v>9</v>
      </c>
      <c r="E40" s="28" t="s">
        <v>9</v>
      </c>
      <c r="F40" s="28" t="s">
        <v>14</v>
      </c>
    </row>
    <row r="41" spans="1:6" ht="15.75" customHeight="1">
      <c r="A41" s="28" t="s">
        <v>123</v>
      </c>
      <c r="B41" s="28" t="s">
        <v>124</v>
      </c>
      <c r="C41" s="28" t="s">
        <v>125</v>
      </c>
      <c r="D41" s="28" t="s">
        <v>9</v>
      </c>
      <c r="E41" s="28" t="s">
        <v>9</v>
      </c>
      <c r="F41" s="28" t="s">
        <v>14</v>
      </c>
    </row>
    <row r="42" spans="1:6" ht="15.75" customHeight="1">
      <c r="A42" s="28" t="s">
        <v>126</v>
      </c>
      <c r="B42" s="28" t="s">
        <v>127</v>
      </c>
      <c r="C42" s="28" t="s">
        <v>128</v>
      </c>
      <c r="D42" s="28" t="s">
        <v>9</v>
      </c>
      <c r="E42" s="28" t="s">
        <v>9</v>
      </c>
      <c r="F42" s="28" t="s">
        <v>14</v>
      </c>
    </row>
    <row r="43" spans="1:6" ht="15.75" customHeight="1">
      <c r="A43" s="28" t="s">
        <v>129</v>
      </c>
      <c r="B43" s="28" t="s">
        <v>130</v>
      </c>
      <c r="C43" s="28" t="s">
        <v>131</v>
      </c>
      <c r="D43" s="28" t="s">
        <v>9</v>
      </c>
      <c r="E43" s="28" t="s">
        <v>9</v>
      </c>
      <c r="F43" s="28" t="s">
        <v>14</v>
      </c>
    </row>
    <row r="44" spans="1:6" ht="15.75" customHeight="1">
      <c r="A44" s="28" t="s">
        <v>132</v>
      </c>
      <c r="B44" s="28" t="s">
        <v>133</v>
      </c>
      <c r="C44" s="28" t="s">
        <v>134</v>
      </c>
      <c r="D44" s="28" t="s">
        <v>9</v>
      </c>
      <c r="E44" s="28" t="s">
        <v>9</v>
      </c>
      <c r="F44" s="28" t="s">
        <v>14</v>
      </c>
    </row>
    <row r="45" spans="1:6" ht="15.75" customHeight="1">
      <c r="A45" s="28" t="s">
        <v>135</v>
      </c>
      <c r="B45" s="28" t="s">
        <v>136</v>
      </c>
      <c r="C45" s="28" t="s">
        <v>137</v>
      </c>
      <c r="D45" s="28" t="s">
        <v>9</v>
      </c>
      <c r="E45" s="28" t="s">
        <v>9</v>
      </c>
      <c r="F45" s="28" t="s">
        <v>14</v>
      </c>
    </row>
    <row r="46" spans="1:6" ht="15.75" customHeight="1">
      <c r="A46" s="28" t="s">
        <v>138</v>
      </c>
      <c r="B46" s="28" t="s">
        <v>139</v>
      </c>
      <c r="C46" s="28" t="s">
        <v>140</v>
      </c>
      <c r="D46" s="28" t="s">
        <v>9</v>
      </c>
      <c r="E46" s="28" t="s">
        <v>9</v>
      </c>
      <c r="F46" s="28" t="s">
        <v>14</v>
      </c>
    </row>
    <row r="47" spans="1:6" ht="15.75" customHeight="1">
      <c r="A47" s="28" t="s">
        <v>141</v>
      </c>
      <c r="B47" s="28" t="s">
        <v>142</v>
      </c>
      <c r="C47" s="28" t="s">
        <v>143</v>
      </c>
      <c r="D47" s="28" t="s">
        <v>9</v>
      </c>
      <c r="E47" s="28" t="s">
        <v>9</v>
      </c>
      <c r="F47" s="28" t="s">
        <v>14</v>
      </c>
    </row>
    <row r="48" spans="1:6" ht="15.75" customHeight="1">
      <c r="A48" s="28" t="s">
        <v>144</v>
      </c>
      <c r="B48" s="28" t="s">
        <v>145</v>
      </c>
      <c r="C48" s="28" t="s">
        <v>146</v>
      </c>
      <c r="D48" s="28" t="s">
        <v>9</v>
      </c>
      <c r="E48" s="28" t="s">
        <v>9</v>
      </c>
      <c r="F48" s="28" t="s">
        <v>14</v>
      </c>
    </row>
    <row r="49" spans="1:6" ht="15.75" customHeight="1">
      <c r="A49" s="28" t="s">
        <v>147</v>
      </c>
      <c r="B49" s="28" t="s">
        <v>148</v>
      </c>
      <c r="C49" s="28" t="s">
        <v>149</v>
      </c>
      <c r="D49" s="28" t="s">
        <v>9</v>
      </c>
      <c r="E49" s="28" t="s">
        <v>9</v>
      </c>
      <c r="F49" s="28" t="s">
        <v>14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V77"/>
  <sheetViews>
    <sheetView tabSelected="1" workbookViewId="0">
      <pane xSplit="2" ySplit="1" topLeftCell="C59" activePane="bottomRight" state="frozen"/>
      <selection pane="topRight" activeCell="C1" sqref="C1"/>
      <selection pane="bottomLeft" activeCell="A2" sqref="A2"/>
      <selection pane="bottomRight" activeCell="F2" sqref="F2:F77"/>
    </sheetView>
  </sheetViews>
  <sheetFormatPr baseColWidth="10" defaultColWidth="12.6640625" defaultRowHeight="15.75" customHeight="1"/>
  <cols>
    <col min="1" max="1" width="21.83203125" customWidth="1"/>
    <col min="2" max="2" width="37.6640625" customWidth="1"/>
    <col min="3" max="3" width="23.5" customWidth="1"/>
    <col min="4" max="4" width="29.33203125" customWidth="1"/>
    <col min="5" max="5" width="25.1640625" customWidth="1"/>
    <col min="6" max="6" width="30.83203125" customWidth="1"/>
    <col min="7" max="7" width="27.6640625" customWidth="1"/>
    <col min="8" max="8" width="27" customWidth="1"/>
    <col min="9" max="9" width="28.1640625" customWidth="1"/>
    <col min="10" max="10" width="43" customWidth="1"/>
    <col min="11" max="11" width="32.6640625" customWidth="1"/>
    <col min="12" max="12" width="32.33203125" customWidth="1"/>
    <col min="13" max="13" width="37.6640625" customWidth="1"/>
    <col min="14" max="14" width="25.83203125" customWidth="1"/>
    <col min="15" max="15" width="26.33203125" customWidth="1"/>
    <col min="16" max="16" width="25.5" customWidth="1"/>
    <col min="17" max="17" width="25.6640625" customWidth="1"/>
    <col min="18" max="18" width="26.5" customWidth="1"/>
    <col min="19" max="19" width="37.6640625" customWidth="1"/>
    <col min="20" max="20" width="26.83203125" customWidth="1"/>
    <col min="21" max="21" width="29.83203125" customWidth="1"/>
    <col min="22" max="22" width="37.6640625" customWidth="1"/>
    <col min="23" max="23" width="27" customWidth="1"/>
    <col min="24" max="25" width="25.6640625" customWidth="1"/>
    <col min="26" max="26" width="26.1640625" customWidth="1"/>
    <col min="27" max="27" width="25.6640625" customWidth="1"/>
    <col min="28" max="28" width="26.1640625" customWidth="1"/>
    <col min="29" max="37" width="25" customWidth="1"/>
    <col min="38" max="39" width="37.6640625" customWidth="1"/>
    <col min="40" max="40" width="32.5" customWidth="1"/>
    <col min="41" max="41" width="42" customWidth="1"/>
    <col min="42" max="42" width="29.1640625" customWidth="1"/>
    <col min="43" max="43" width="26.5" customWidth="1"/>
    <col min="44" max="44" width="26.33203125" customWidth="1"/>
    <col min="45" max="45" width="29.6640625" customWidth="1"/>
    <col min="46" max="47" width="31.6640625" customWidth="1"/>
  </cols>
  <sheetData>
    <row r="1" spans="1:48" ht="22.5" customHeight="1">
      <c r="A1" s="4" t="s">
        <v>6</v>
      </c>
      <c r="B1" t="s">
        <v>11</v>
      </c>
      <c r="C1" s="4" t="s">
        <v>15</v>
      </c>
      <c r="D1" s="4" t="s">
        <v>19</v>
      </c>
      <c r="E1" s="4" t="s">
        <v>22</v>
      </c>
      <c r="F1" s="4" t="s">
        <v>25</v>
      </c>
      <c r="G1" s="4" t="s">
        <v>28</v>
      </c>
      <c r="H1" s="4" t="s">
        <v>31</v>
      </c>
      <c r="I1" s="4" t="s">
        <v>34</v>
      </c>
      <c r="J1" s="4" t="s">
        <v>37</v>
      </c>
      <c r="K1" s="5" t="s">
        <v>40</v>
      </c>
      <c r="L1" s="4" t="s">
        <v>43</v>
      </c>
      <c r="M1" s="4" t="s">
        <v>46</v>
      </c>
      <c r="N1" s="4" t="s">
        <v>49</v>
      </c>
      <c r="O1" s="4" t="s">
        <v>52</v>
      </c>
      <c r="P1" s="4" t="s">
        <v>55</v>
      </c>
      <c r="Q1" s="4" t="s">
        <v>58</v>
      </c>
      <c r="R1" s="4" t="s">
        <v>64</v>
      </c>
      <c r="S1" s="4" t="s">
        <v>61</v>
      </c>
      <c r="T1" s="4" t="s">
        <v>67</v>
      </c>
      <c r="U1" s="4" t="s">
        <v>70</v>
      </c>
      <c r="V1" s="4" t="s">
        <v>73</v>
      </c>
      <c r="W1" s="4" t="s">
        <v>76</v>
      </c>
      <c r="X1" s="6" t="s">
        <v>96</v>
      </c>
      <c r="Y1" s="4" t="s">
        <v>79</v>
      </c>
      <c r="Z1" s="4" t="s">
        <v>81</v>
      </c>
      <c r="AA1" s="4" t="s">
        <v>83</v>
      </c>
      <c r="AB1" s="4" t="s">
        <v>85</v>
      </c>
      <c r="AC1" s="4" t="s">
        <v>87</v>
      </c>
      <c r="AD1" s="6" t="s">
        <v>99</v>
      </c>
      <c r="AE1" s="6" t="s">
        <v>102</v>
      </c>
      <c r="AF1" s="6" t="s">
        <v>105</v>
      </c>
      <c r="AG1" s="6" t="s">
        <v>108</v>
      </c>
      <c r="AH1" s="6" t="s">
        <v>111</v>
      </c>
      <c r="AI1" s="6" t="s">
        <v>114</v>
      </c>
      <c r="AJ1" s="6" t="s">
        <v>117</v>
      </c>
      <c r="AK1" s="7" t="s">
        <v>120</v>
      </c>
      <c r="AL1" s="4" t="s">
        <v>90</v>
      </c>
      <c r="AM1" s="6" t="s">
        <v>123</v>
      </c>
      <c r="AN1" s="4" t="s">
        <v>93</v>
      </c>
      <c r="AO1" s="6" t="s">
        <v>126</v>
      </c>
      <c r="AP1" s="4" t="s">
        <v>129</v>
      </c>
      <c r="AQ1" s="4" t="s">
        <v>132</v>
      </c>
      <c r="AR1" s="4" t="s">
        <v>135</v>
      </c>
      <c r="AS1" s="4" t="s">
        <v>138</v>
      </c>
      <c r="AT1" s="4" t="s">
        <v>141</v>
      </c>
      <c r="AU1" s="4" t="s">
        <v>144</v>
      </c>
      <c r="AV1" s="4" t="s">
        <v>147</v>
      </c>
    </row>
    <row r="2" spans="1:48" ht="22.5" customHeight="1">
      <c r="A2" s="8" t="s">
        <v>150</v>
      </c>
      <c r="B2" t="s">
        <v>151</v>
      </c>
      <c r="C2" s="9" t="s">
        <v>152</v>
      </c>
      <c r="D2" s="9">
        <v>2024</v>
      </c>
      <c r="E2" s="9" t="s">
        <v>153</v>
      </c>
      <c r="F2" s="30" t="s">
        <v>191</v>
      </c>
      <c r="G2" s="8" t="s">
        <v>154</v>
      </c>
      <c r="H2" s="8" t="s">
        <v>155</v>
      </c>
      <c r="I2" s="8" t="s">
        <v>156</v>
      </c>
      <c r="J2" s="8" t="s">
        <v>157</v>
      </c>
      <c r="K2" s="8" t="s">
        <v>158</v>
      </c>
      <c r="L2" s="8" t="s">
        <v>159</v>
      </c>
      <c r="M2" s="8" t="s">
        <v>160</v>
      </c>
      <c r="N2" s="8" t="s">
        <v>161</v>
      </c>
      <c r="O2" s="8" t="s">
        <v>162</v>
      </c>
      <c r="P2" s="8" t="s">
        <v>18</v>
      </c>
      <c r="Q2" s="8" t="s">
        <v>163</v>
      </c>
      <c r="R2" s="8" t="s">
        <v>164</v>
      </c>
      <c r="S2" s="8" t="s">
        <v>165</v>
      </c>
      <c r="T2" s="8" t="s">
        <v>166</v>
      </c>
      <c r="U2" s="8">
        <v>0.375</v>
      </c>
      <c r="V2" s="8" t="s">
        <v>167</v>
      </c>
      <c r="W2" s="8" t="s">
        <v>168</v>
      </c>
      <c r="X2" s="8" t="s">
        <v>169</v>
      </c>
      <c r="Y2" s="8">
        <v>24</v>
      </c>
      <c r="Z2" s="8">
        <v>40</v>
      </c>
      <c r="AA2" s="8">
        <v>50</v>
      </c>
      <c r="AB2" s="8">
        <v>50</v>
      </c>
      <c r="AC2" s="8">
        <v>64</v>
      </c>
      <c r="AD2" s="8"/>
      <c r="AE2" s="8"/>
      <c r="AF2" s="8"/>
      <c r="AG2" s="8"/>
      <c r="AH2" s="8"/>
      <c r="AI2" s="8"/>
      <c r="AJ2" s="8"/>
      <c r="AK2" s="8"/>
      <c r="AL2" s="8" t="s">
        <v>170</v>
      </c>
      <c r="AM2" s="8" t="s">
        <v>171</v>
      </c>
      <c r="AN2" s="8" t="s">
        <v>172</v>
      </c>
      <c r="AO2">
        <v>-0.27829999999999999</v>
      </c>
      <c r="AP2">
        <v>3.1699999999999999E-2</v>
      </c>
      <c r="AQ2" t="s">
        <v>173</v>
      </c>
      <c r="AR2">
        <v>0.6</v>
      </c>
      <c r="AS2">
        <v>0.1067</v>
      </c>
      <c r="AT2" t="s">
        <v>174</v>
      </c>
      <c r="AU2" s="8" t="s">
        <v>18</v>
      </c>
      <c r="AV2" s="8" t="s">
        <v>9</v>
      </c>
    </row>
    <row r="3" spans="1:48" ht="22.5" customHeight="1">
      <c r="A3" s="8" t="s">
        <v>150</v>
      </c>
      <c r="B3" t="s">
        <v>175</v>
      </c>
      <c r="C3" s="9" t="s">
        <v>152</v>
      </c>
      <c r="D3" s="9">
        <v>2024</v>
      </c>
      <c r="E3" s="9" t="s">
        <v>153</v>
      </c>
      <c r="F3" s="30" t="s">
        <v>191</v>
      </c>
      <c r="G3" s="8" t="s">
        <v>154</v>
      </c>
      <c r="H3" s="8" t="s">
        <v>176</v>
      </c>
      <c r="I3" s="8" t="s">
        <v>156</v>
      </c>
      <c r="J3" s="8" t="s">
        <v>157</v>
      </c>
      <c r="K3" s="8" t="s">
        <v>158</v>
      </c>
      <c r="L3" s="8" t="s">
        <v>159</v>
      </c>
      <c r="M3" s="8" t="s">
        <v>160</v>
      </c>
      <c r="N3" s="8" t="s">
        <v>161</v>
      </c>
      <c r="O3" s="8" t="s">
        <v>162</v>
      </c>
      <c r="P3" s="8" t="s">
        <v>18</v>
      </c>
      <c r="Q3" s="8" t="s">
        <v>163</v>
      </c>
      <c r="R3" s="8" t="s">
        <v>164</v>
      </c>
      <c r="S3" s="8" t="s">
        <v>165</v>
      </c>
      <c r="T3" s="8" t="s">
        <v>166</v>
      </c>
      <c r="U3" s="8">
        <v>0.622</v>
      </c>
      <c r="V3" s="8" t="s">
        <v>177</v>
      </c>
      <c r="W3" s="8" t="s">
        <v>168</v>
      </c>
      <c r="X3" s="8" t="s">
        <v>178</v>
      </c>
      <c r="Y3" s="8">
        <v>46</v>
      </c>
      <c r="Z3" s="8">
        <v>28</v>
      </c>
      <c r="AA3" s="8">
        <v>50</v>
      </c>
      <c r="AB3" s="8">
        <v>50</v>
      </c>
      <c r="AC3" s="8">
        <v>74</v>
      </c>
      <c r="AD3" s="8"/>
      <c r="AE3" s="8"/>
      <c r="AF3" s="8"/>
      <c r="AG3" s="8"/>
      <c r="AH3" s="8"/>
      <c r="AI3" s="8"/>
      <c r="AJ3" s="8"/>
      <c r="AK3" s="8"/>
      <c r="AL3" s="8" t="s">
        <v>170</v>
      </c>
      <c r="AM3" s="8" t="s">
        <v>171</v>
      </c>
      <c r="AN3" s="8" t="s">
        <v>179</v>
      </c>
      <c r="AO3">
        <v>0.27089999999999997</v>
      </c>
      <c r="AP3">
        <v>2.9000000000000001E-2</v>
      </c>
      <c r="AQ3" t="s">
        <v>180</v>
      </c>
      <c r="AR3">
        <v>1.6429</v>
      </c>
      <c r="AS3">
        <v>9.7500000000000003E-2</v>
      </c>
      <c r="AT3" t="s">
        <v>181</v>
      </c>
      <c r="AU3" s="8" t="s">
        <v>18</v>
      </c>
      <c r="AV3" s="8" t="s">
        <v>9</v>
      </c>
    </row>
    <row r="4" spans="1:48" ht="22.5" customHeight="1">
      <c r="A4" s="8" t="s">
        <v>150</v>
      </c>
      <c r="B4" t="s">
        <v>182</v>
      </c>
      <c r="C4" s="9" t="s">
        <v>152</v>
      </c>
      <c r="D4" s="9">
        <v>2024</v>
      </c>
      <c r="E4" s="9" t="s">
        <v>153</v>
      </c>
      <c r="F4" s="30" t="s">
        <v>191</v>
      </c>
      <c r="G4" s="8" t="s">
        <v>154</v>
      </c>
      <c r="H4" s="8" t="s">
        <v>183</v>
      </c>
      <c r="I4" s="8" t="s">
        <v>156</v>
      </c>
      <c r="J4" s="8" t="s">
        <v>157</v>
      </c>
      <c r="K4" s="8" t="s">
        <v>158</v>
      </c>
      <c r="L4" s="8" t="s">
        <v>159</v>
      </c>
      <c r="M4" s="8" t="s">
        <v>160</v>
      </c>
      <c r="N4" s="8" t="s">
        <v>161</v>
      </c>
      <c r="O4" s="8" t="s">
        <v>162</v>
      </c>
      <c r="P4" s="8" t="s">
        <v>18</v>
      </c>
      <c r="Q4" s="8" t="s">
        <v>163</v>
      </c>
      <c r="R4" s="8" t="s">
        <v>164</v>
      </c>
      <c r="S4" s="8" t="s">
        <v>165</v>
      </c>
      <c r="T4" s="8" t="s">
        <v>166</v>
      </c>
      <c r="U4" s="8">
        <v>0.627</v>
      </c>
      <c r="V4" s="8" t="s">
        <v>184</v>
      </c>
      <c r="W4" s="8" t="s">
        <v>168</v>
      </c>
      <c r="X4" s="8" t="s">
        <v>178</v>
      </c>
      <c r="Y4" s="8">
        <v>42</v>
      </c>
      <c r="Z4" s="8">
        <v>25</v>
      </c>
      <c r="AA4" s="8">
        <v>50</v>
      </c>
      <c r="AB4" s="8">
        <v>50</v>
      </c>
      <c r="AC4" s="8">
        <v>67</v>
      </c>
      <c r="AD4" s="8"/>
      <c r="AE4" s="8"/>
      <c r="AF4" s="8"/>
      <c r="AG4" s="8"/>
      <c r="AH4" s="8"/>
      <c r="AI4" s="8"/>
      <c r="AJ4" s="8"/>
      <c r="AK4" s="8"/>
      <c r="AL4" s="8" t="s">
        <v>170</v>
      </c>
      <c r="AM4" s="8" t="s">
        <v>171</v>
      </c>
      <c r="AN4" s="8" t="s">
        <v>185</v>
      </c>
      <c r="AO4">
        <v>0.2828</v>
      </c>
      <c r="AP4">
        <v>3.0800000000000001E-2</v>
      </c>
      <c r="AQ4" t="s">
        <v>186</v>
      </c>
      <c r="AR4">
        <v>1.68</v>
      </c>
      <c r="AS4">
        <v>0.1038</v>
      </c>
      <c r="AT4" t="s">
        <v>187</v>
      </c>
      <c r="AU4" s="8" t="s">
        <v>18</v>
      </c>
      <c r="AV4" s="8" t="s">
        <v>9</v>
      </c>
    </row>
    <row r="5" spans="1:48" ht="22.5" customHeight="1">
      <c r="A5" s="8" t="s">
        <v>150</v>
      </c>
      <c r="B5" t="s">
        <v>188</v>
      </c>
      <c r="C5" s="8" t="s">
        <v>189</v>
      </c>
      <c r="D5" s="8">
        <v>2021</v>
      </c>
      <c r="E5" s="8" t="s">
        <v>190</v>
      </c>
      <c r="F5" s="30" t="s">
        <v>191</v>
      </c>
      <c r="G5" s="8" t="s">
        <v>154</v>
      </c>
      <c r="H5" s="8" t="s">
        <v>155</v>
      </c>
      <c r="I5" s="8" t="s">
        <v>156</v>
      </c>
      <c r="J5" s="8" t="s">
        <v>157</v>
      </c>
      <c r="K5" s="8" t="s">
        <v>158</v>
      </c>
      <c r="L5" s="8" t="s">
        <v>159</v>
      </c>
      <c r="M5" s="8" t="s">
        <v>160</v>
      </c>
      <c r="N5" s="8" t="s">
        <v>192</v>
      </c>
      <c r="O5" s="8" t="s">
        <v>162</v>
      </c>
      <c r="P5" s="8" t="s">
        <v>18</v>
      </c>
      <c r="Q5" s="8" t="s">
        <v>163</v>
      </c>
      <c r="R5" s="8" t="s">
        <v>193</v>
      </c>
      <c r="S5" s="8" t="s">
        <v>194</v>
      </c>
      <c r="T5" s="8" t="s">
        <v>195</v>
      </c>
      <c r="U5" s="8" t="s">
        <v>196</v>
      </c>
      <c r="V5" s="8" t="s">
        <v>196</v>
      </c>
      <c r="W5" s="8" t="s">
        <v>197</v>
      </c>
      <c r="X5" s="8" t="s">
        <v>169</v>
      </c>
      <c r="Y5" s="8">
        <v>107</v>
      </c>
      <c r="Z5" s="8">
        <v>110</v>
      </c>
      <c r="AA5" s="8">
        <v>75</v>
      </c>
      <c r="AB5" s="8">
        <v>76</v>
      </c>
      <c r="AC5" s="8">
        <v>368</v>
      </c>
      <c r="AD5" s="8"/>
      <c r="AE5" s="8"/>
      <c r="AF5" s="8"/>
      <c r="AG5" s="8"/>
      <c r="AH5" s="8"/>
      <c r="AI5" s="8"/>
      <c r="AJ5" s="8"/>
      <c r="AK5" s="8"/>
      <c r="AL5" s="8" t="s">
        <v>170</v>
      </c>
      <c r="AM5" s="8" t="s">
        <v>171</v>
      </c>
      <c r="AN5" s="8" t="s">
        <v>198</v>
      </c>
      <c r="AO5" s="8">
        <v>-7.9000000000000008E-3</v>
      </c>
      <c r="AP5" s="8">
        <v>1.3599999999999999E-2</v>
      </c>
      <c r="AQ5" s="8" t="s">
        <v>199</v>
      </c>
      <c r="AR5" s="8">
        <v>0.98573619999999995</v>
      </c>
      <c r="AS5" s="8">
        <v>4.4927929999999998E-2</v>
      </c>
      <c r="AT5" s="8" t="s">
        <v>200</v>
      </c>
      <c r="AU5" s="8" t="s">
        <v>18</v>
      </c>
      <c r="AV5" s="8" t="s">
        <v>9</v>
      </c>
    </row>
    <row r="6" spans="1:48" ht="22.5" customHeight="1">
      <c r="A6" s="8" t="s">
        <v>150</v>
      </c>
      <c r="B6" t="s">
        <v>201</v>
      </c>
      <c r="C6" s="9" t="s">
        <v>202</v>
      </c>
      <c r="D6" s="9">
        <v>2011</v>
      </c>
      <c r="E6" s="9" t="s">
        <v>203</v>
      </c>
      <c r="F6" s="31" t="s">
        <v>204</v>
      </c>
      <c r="G6" s="8" t="s">
        <v>154</v>
      </c>
      <c r="H6" s="8" t="s">
        <v>155</v>
      </c>
      <c r="I6" s="8" t="s">
        <v>205</v>
      </c>
      <c r="J6" s="8" t="s">
        <v>157</v>
      </c>
      <c r="K6" s="8" t="s">
        <v>206</v>
      </c>
      <c r="L6" s="8" t="s">
        <v>207</v>
      </c>
      <c r="M6" s="8" t="s">
        <v>208</v>
      </c>
      <c r="N6" s="8" t="s">
        <v>209</v>
      </c>
      <c r="O6" s="8" t="s">
        <v>210</v>
      </c>
      <c r="P6" s="8" t="s">
        <v>9</v>
      </c>
      <c r="Q6" s="8" t="s">
        <v>163</v>
      </c>
      <c r="R6" s="8" t="s">
        <v>211</v>
      </c>
      <c r="S6" s="8" t="s">
        <v>212</v>
      </c>
      <c r="T6" s="8" t="s">
        <v>213</v>
      </c>
      <c r="U6" s="8">
        <v>0.27</v>
      </c>
      <c r="V6" s="8" t="s">
        <v>214</v>
      </c>
      <c r="W6" s="8" t="s">
        <v>215</v>
      </c>
      <c r="X6" s="8" t="s">
        <v>178</v>
      </c>
      <c r="Y6" s="8" t="s">
        <v>196</v>
      </c>
      <c r="Z6" s="8" t="s">
        <v>196</v>
      </c>
      <c r="AA6" s="8" t="s">
        <v>196</v>
      </c>
      <c r="AB6" s="8" t="s">
        <v>196</v>
      </c>
      <c r="AC6" s="8">
        <v>23</v>
      </c>
      <c r="AD6" s="8">
        <v>0.11</v>
      </c>
      <c r="AE6" s="8">
        <v>0.1308</v>
      </c>
      <c r="AF6" s="8">
        <v>0.03</v>
      </c>
      <c r="AG6" s="8">
        <v>19</v>
      </c>
      <c r="AH6" s="8">
        <v>0.27</v>
      </c>
      <c r="AI6" s="8">
        <v>0.23980000000000001</v>
      </c>
      <c r="AJ6" s="8">
        <v>0.05</v>
      </c>
      <c r="AK6" s="8">
        <v>23</v>
      </c>
      <c r="AL6" s="8" t="s">
        <v>170</v>
      </c>
      <c r="AM6" s="8" t="s">
        <v>216</v>
      </c>
      <c r="AN6" s="8" t="s">
        <v>217</v>
      </c>
      <c r="AO6" s="8">
        <v>0.79169999999999996</v>
      </c>
      <c r="AP6" s="8">
        <v>0.10390000000000001</v>
      </c>
      <c r="AQ6" s="8" t="s">
        <v>218</v>
      </c>
      <c r="AR6">
        <v>4.2038000000000002</v>
      </c>
      <c r="AS6">
        <v>0.34179999999999999</v>
      </c>
      <c r="AT6" t="s">
        <v>219</v>
      </c>
      <c r="AU6" s="8" t="s">
        <v>18</v>
      </c>
      <c r="AV6" s="8" t="s">
        <v>9</v>
      </c>
    </row>
    <row r="7" spans="1:48" ht="22.5" customHeight="1">
      <c r="A7" s="11" t="s">
        <v>150</v>
      </c>
      <c r="B7" t="s">
        <v>220</v>
      </c>
      <c r="C7" s="12" t="s">
        <v>202</v>
      </c>
      <c r="D7" s="13">
        <v>2011</v>
      </c>
      <c r="E7" s="12" t="s">
        <v>203</v>
      </c>
      <c r="F7" s="31" t="s">
        <v>204</v>
      </c>
      <c r="G7" s="14" t="s">
        <v>154</v>
      </c>
      <c r="H7" s="14" t="s">
        <v>176</v>
      </c>
      <c r="I7" s="14" t="s">
        <v>205</v>
      </c>
      <c r="J7" s="14" t="s">
        <v>157</v>
      </c>
      <c r="K7" s="14" t="s">
        <v>206</v>
      </c>
      <c r="L7" s="14" t="s">
        <v>159</v>
      </c>
      <c r="M7" s="8" t="s">
        <v>208</v>
      </c>
      <c r="N7" s="15" t="s">
        <v>221</v>
      </c>
      <c r="O7" s="14" t="s">
        <v>210</v>
      </c>
      <c r="P7" s="14" t="s">
        <v>9</v>
      </c>
      <c r="Q7" s="8" t="s">
        <v>163</v>
      </c>
      <c r="R7" s="15" t="s">
        <v>211</v>
      </c>
      <c r="S7" s="15" t="s">
        <v>212</v>
      </c>
      <c r="T7" s="15" t="s">
        <v>213</v>
      </c>
      <c r="U7" s="15">
        <v>0.18</v>
      </c>
      <c r="V7" s="15" t="s">
        <v>222</v>
      </c>
      <c r="W7" s="8" t="s">
        <v>215</v>
      </c>
      <c r="X7" s="8" t="s">
        <v>169</v>
      </c>
      <c r="Y7" s="8" t="s">
        <v>196</v>
      </c>
      <c r="Z7" s="8" t="s">
        <v>196</v>
      </c>
      <c r="AA7" s="8" t="s">
        <v>196</v>
      </c>
      <c r="AB7" s="8" t="s">
        <v>196</v>
      </c>
      <c r="AC7" s="15">
        <v>20</v>
      </c>
      <c r="AD7" s="8">
        <v>0.11</v>
      </c>
      <c r="AE7" s="8">
        <v>0.1308</v>
      </c>
      <c r="AF7" s="8">
        <v>0.03</v>
      </c>
      <c r="AG7" s="8">
        <v>19</v>
      </c>
      <c r="AH7" s="8">
        <v>0.18</v>
      </c>
      <c r="AI7" s="8">
        <v>0.1789</v>
      </c>
      <c r="AJ7" s="8">
        <v>0.04</v>
      </c>
      <c r="AK7" s="8">
        <v>20</v>
      </c>
      <c r="AL7" s="8" t="s">
        <v>170</v>
      </c>
      <c r="AM7" s="8" t="s">
        <v>216</v>
      </c>
      <c r="AN7" s="8" t="s">
        <v>217</v>
      </c>
      <c r="AO7" s="16">
        <v>0.43590000000000001</v>
      </c>
      <c r="AP7" s="16">
        <v>0.1052</v>
      </c>
      <c r="AQ7" s="16" t="s">
        <v>223</v>
      </c>
      <c r="AR7" s="15">
        <v>2.2048000000000001</v>
      </c>
      <c r="AS7" s="17">
        <v>0.34610000000000002</v>
      </c>
      <c r="AT7" s="15" t="s">
        <v>224</v>
      </c>
      <c r="AU7" s="8" t="s">
        <v>18</v>
      </c>
      <c r="AV7" s="8" t="s">
        <v>9</v>
      </c>
    </row>
    <row r="8" spans="1:48" ht="22.5" customHeight="1">
      <c r="A8" s="8" t="s">
        <v>150</v>
      </c>
      <c r="B8" t="s">
        <v>225</v>
      </c>
      <c r="C8" s="8" t="s">
        <v>226</v>
      </c>
      <c r="D8" s="8">
        <v>2023</v>
      </c>
      <c r="E8" s="8" t="s">
        <v>227</v>
      </c>
      <c r="F8" s="30" t="s">
        <v>228</v>
      </c>
      <c r="G8" s="14" t="s">
        <v>154</v>
      </c>
      <c r="H8" s="8" t="s">
        <v>155</v>
      </c>
      <c r="I8" s="8" t="s">
        <v>205</v>
      </c>
      <c r="J8" s="8" t="s">
        <v>157</v>
      </c>
      <c r="K8" s="8" t="s">
        <v>158</v>
      </c>
      <c r="L8" s="8" t="s">
        <v>229</v>
      </c>
      <c r="M8" s="8" t="s">
        <v>230</v>
      </c>
      <c r="N8" s="8" t="s">
        <v>231</v>
      </c>
      <c r="O8" s="8" t="s">
        <v>162</v>
      </c>
      <c r="P8" s="8" t="s">
        <v>18</v>
      </c>
      <c r="Q8" s="8" t="s">
        <v>163</v>
      </c>
      <c r="R8" s="8" t="s">
        <v>211</v>
      </c>
      <c r="S8" s="8" t="s">
        <v>232</v>
      </c>
      <c r="T8" s="8" t="s">
        <v>233</v>
      </c>
      <c r="U8" s="8">
        <v>0.75</v>
      </c>
      <c r="V8" s="8" t="s">
        <v>234</v>
      </c>
      <c r="W8" s="8" t="s">
        <v>235</v>
      </c>
      <c r="X8" s="8" t="s">
        <v>169</v>
      </c>
      <c r="Y8" s="8" t="s">
        <v>196</v>
      </c>
      <c r="Z8" s="8" t="s">
        <v>196</v>
      </c>
      <c r="AA8" s="8" t="s">
        <v>196</v>
      </c>
      <c r="AB8" s="8" t="s">
        <v>196</v>
      </c>
      <c r="AC8" s="8">
        <v>49</v>
      </c>
      <c r="AD8" s="8">
        <v>0.8</v>
      </c>
      <c r="AE8" s="8"/>
      <c r="AF8" s="8">
        <v>0.12</v>
      </c>
      <c r="AG8" s="8">
        <v>24</v>
      </c>
      <c r="AH8" s="8">
        <v>0.75</v>
      </c>
      <c r="AI8" s="8"/>
      <c r="AJ8" s="8">
        <v>0.15</v>
      </c>
      <c r="AK8" s="8">
        <v>25</v>
      </c>
      <c r="AL8" s="8" t="s">
        <v>236</v>
      </c>
      <c r="AM8" s="8" t="s">
        <v>216</v>
      </c>
      <c r="AN8" s="8" t="s">
        <v>237</v>
      </c>
      <c r="AO8">
        <v>-7.2800000000000004E-2</v>
      </c>
      <c r="AP8">
        <v>8.1699999999999995E-2</v>
      </c>
      <c r="AQ8" t="s">
        <v>238</v>
      </c>
      <c r="AR8">
        <v>0.87629999999999997</v>
      </c>
      <c r="AS8">
        <v>0.26879999999999998</v>
      </c>
      <c r="AT8" t="s">
        <v>239</v>
      </c>
      <c r="AU8" s="8" t="s">
        <v>18</v>
      </c>
      <c r="AV8" s="8" t="s">
        <v>9</v>
      </c>
    </row>
    <row r="9" spans="1:48" ht="22.5" customHeight="1">
      <c r="A9" s="8" t="s">
        <v>150</v>
      </c>
      <c r="B9" t="s">
        <v>240</v>
      </c>
      <c r="C9" s="8" t="s">
        <v>226</v>
      </c>
      <c r="D9" s="8">
        <v>2023</v>
      </c>
      <c r="E9" s="8" t="s">
        <v>227</v>
      </c>
      <c r="F9" s="30" t="s">
        <v>228</v>
      </c>
      <c r="G9" s="14" t="s">
        <v>154</v>
      </c>
      <c r="H9" s="8" t="s">
        <v>176</v>
      </c>
      <c r="I9" s="8" t="s">
        <v>205</v>
      </c>
      <c r="J9" s="8" t="s">
        <v>157</v>
      </c>
      <c r="K9" s="8" t="s">
        <v>158</v>
      </c>
      <c r="L9" s="8" t="s">
        <v>229</v>
      </c>
      <c r="M9" s="8" t="s">
        <v>230</v>
      </c>
      <c r="N9" s="8" t="s">
        <v>231</v>
      </c>
      <c r="O9" s="8" t="s">
        <v>162</v>
      </c>
      <c r="P9" s="8" t="s">
        <v>18</v>
      </c>
      <c r="Q9" s="8" t="s">
        <v>163</v>
      </c>
      <c r="R9" s="8" t="s">
        <v>211</v>
      </c>
      <c r="S9" s="8" t="s">
        <v>232</v>
      </c>
      <c r="T9" s="8" t="s">
        <v>241</v>
      </c>
      <c r="U9" s="8">
        <v>2.5499999999999998</v>
      </c>
      <c r="V9" s="8" t="s">
        <v>242</v>
      </c>
      <c r="W9" s="8" t="s">
        <v>235</v>
      </c>
      <c r="X9" s="8" t="s">
        <v>169</v>
      </c>
      <c r="Y9" s="8" t="s">
        <v>196</v>
      </c>
      <c r="Z9" s="8" t="s">
        <v>196</v>
      </c>
      <c r="AA9" s="8" t="s">
        <v>196</v>
      </c>
      <c r="AB9" s="8" t="s">
        <v>196</v>
      </c>
      <c r="AC9" s="8">
        <v>50</v>
      </c>
      <c r="AD9" s="8">
        <v>2.25</v>
      </c>
      <c r="AE9" s="8"/>
      <c r="AF9" s="8">
        <v>0.15</v>
      </c>
      <c r="AG9" s="8">
        <v>25</v>
      </c>
      <c r="AH9" s="8">
        <v>2.5499999999999998</v>
      </c>
      <c r="AI9" s="8"/>
      <c r="AJ9" s="8">
        <v>0.2</v>
      </c>
      <c r="AK9" s="8">
        <v>25</v>
      </c>
      <c r="AL9" s="8" t="s">
        <v>236</v>
      </c>
      <c r="AM9" s="8" t="s">
        <v>216</v>
      </c>
      <c r="AN9" s="8" t="s">
        <v>237</v>
      </c>
      <c r="AO9">
        <v>0.33410000000000001</v>
      </c>
      <c r="AP9">
        <v>8.1199999999999994E-2</v>
      </c>
      <c r="AQ9" t="s">
        <v>243</v>
      </c>
      <c r="AR9">
        <v>1.8331</v>
      </c>
      <c r="AS9">
        <v>0.2671</v>
      </c>
      <c r="AT9" t="s">
        <v>244</v>
      </c>
      <c r="AU9" s="8" t="s">
        <v>18</v>
      </c>
      <c r="AV9" s="8" t="s">
        <v>9</v>
      </c>
    </row>
    <row r="10" spans="1:48" ht="22.5" customHeight="1">
      <c r="A10" s="8" t="s">
        <v>150</v>
      </c>
      <c r="B10" t="s">
        <v>245</v>
      </c>
      <c r="C10" s="9" t="s">
        <v>246</v>
      </c>
      <c r="D10" s="9">
        <v>2012</v>
      </c>
      <c r="E10" s="9" t="s">
        <v>246</v>
      </c>
      <c r="F10" s="31" t="s">
        <v>191</v>
      </c>
      <c r="G10" s="8" t="s">
        <v>154</v>
      </c>
      <c r="H10" s="8" t="s">
        <v>155</v>
      </c>
      <c r="I10" s="8" t="s">
        <v>156</v>
      </c>
      <c r="J10" s="8" t="s">
        <v>157</v>
      </c>
      <c r="K10" s="8" t="s">
        <v>158</v>
      </c>
      <c r="L10" s="8" t="s">
        <v>159</v>
      </c>
      <c r="M10" s="8" t="s">
        <v>160</v>
      </c>
      <c r="N10" s="8" t="s">
        <v>247</v>
      </c>
      <c r="O10" s="8" t="s">
        <v>162</v>
      </c>
      <c r="P10" s="8" t="s">
        <v>18</v>
      </c>
      <c r="Q10" s="8" t="s">
        <v>163</v>
      </c>
      <c r="R10" s="8" t="s">
        <v>248</v>
      </c>
      <c r="S10" s="8" t="s">
        <v>249</v>
      </c>
      <c r="T10" s="8" t="s">
        <v>250</v>
      </c>
      <c r="U10" s="8">
        <v>0.56521699999999997</v>
      </c>
      <c r="V10" s="8" t="s">
        <v>251</v>
      </c>
      <c r="W10" s="8" t="s">
        <v>252</v>
      </c>
      <c r="X10" s="8" t="s">
        <v>169</v>
      </c>
      <c r="Y10" s="8">
        <v>52</v>
      </c>
      <c r="Z10" s="8">
        <v>40</v>
      </c>
      <c r="AA10" s="8">
        <v>46</v>
      </c>
      <c r="AB10" s="8">
        <v>46</v>
      </c>
      <c r="AC10" s="8">
        <v>92</v>
      </c>
      <c r="AD10" s="8"/>
      <c r="AE10" s="8"/>
      <c r="AF10" s="8"/>
      <c r="AG10" s="8"/>
      <c r="AH10" s="8"/>
      <c r="AI10" s="8"/>
      <c r="AJ10" s="8"/>
      <c r="AK10" s="8"/>
      <c r="AL10" s="8" t="s">
        <v>253</v>
      </c>
      <c r="AM10" s="8" t="s">
        <v>171</v>
      </c>
      <c r="AN10" s="8" t="s">
        <v>254</v>
      </c>
      <c r="AO10">
        <v>0.14349999999999999</v>
      </c>
      <c r="AP10">
        <v>2.6200000000000001E-2</v>
      </c>
      <c r="AQ10" t="s">
        <v>255</v>
      </c>
      <c r="AR10">
        <v>1.3</v>
      </c>
      <c r="AS10">
        <v>8.77E-2</v>
      </c>
      <c r="AT10" t="s">
        <v>256</v>
      </c>
      <c r="AU10" s="8" t="s">
        <v>18</v>
      </c>
      <c r="AV10" s="8" t="s">
        <v>9</v>
      </c>
    </row>
    <row r="11" spans="1:48" ht="22.5" customHeight="1">
      <c r="A11" s="8" t="s">
        <v>150</v>
      </c>
      <c r="B11" t="s">
        <v>257</v>
      </c>
      <c r="C11" s="9" t="s">
        <v>258</v>
      </c>
      <c r="D11" s="9">
        <v>2025</v>
      </c>
      <c r="E11" s="9" t="s">
        <v>259</v>
      </c>
      <c r="F11" s="30" t="s">
        <v>815</v>
      </c>
      <c r="G11" s="8" t="s">
        <v>154</v>
      </c>
      <c r="H11" s="8" t="s">
        <v>155</v>
      </c>
      <c r="I11" s="8" t="s">
        <v>156</v>
      </c>
      <c r="J11" s="8" t="s">
        <v>157</v>
      </c>
      <c r="K11" s="8" t="s">
        <v>206</v>
      </c>
      <c r="L11" s="8" t="s">
        <v>207</v>
      </c>
      <c r="M11" s="8" t="s">
        <v>208</v>
      </c>
      <c r="N11" s="8" t="s">
        <v>260</v>
      </c>
      <c r="O11" s="8" t="s">
        <v>162</v>
      </c>
      <c r="P11" s="8" t="s">
        <v>9</v>
      </c>
      <c r="Q11" s="8" t="s">
        <v>163</v>
      </c>
      <c r="R11" s="8" t="s">
        <v>248</v>
      </c>
      <c r="S11" s="8" t="s">
        <v>261</v>
      </c>
      <c r="T11" s="8" t="s">
        <v>262</v>
      </c>
      <c r="U11" s="8" t="s">
        <v>196</v>
      </c>
      <c r="V11" s="8" t="s">
        <v>263</v>
      </c>
      <c r="W11" s="8" t="s">
        <v>264</v>
      </c>
      <c r="X11" s="8" t="s">
        <v>169</v>
      </c>
      <c r="Y11" s="8" t="s">
        <v>196</v>
      </c>
      <c r="Z11" s="8" t="s">
        <v>196</v>
      </c>
      <c r="AA11" s="8" t="s">
        <v>196</v>
      </c>
      <c r="AB11" s="8" t="s">
        <v>196</v>
      </c>
      <c r="AC11" s="8">
        <v>33</v>
      </c>
      <c r="AD11" s="8">
        <v>79.19</v>
      </c>
      <c r="AE11" s="8">
        <v>4.9000000000000004</v>
      </c>
      <c r="AF11" s="8"/>
      <c r="AG11" s="8">
        <v>12</v>
      </c>
      <c r="AH11" s="8">
        <v>80.55</v>
      </c>
      <c r="AI11" s="8">
        <v>3.4</v>
      </c>
      <c r="AJ11" s="8"/>
      <c r="AK11" s="8">
        <v>21</v>
      </c>
      <c r="AL11" s="8" t="s">
        <v>253</v>
      </c>
      <c r="AM11" s="8" t="s">
        <v>216</v>
      </c>
      <c r="AN11" s="8" t="s">
        <v>265</v>
      </c>
      <c r="AO11">
        <v>0.33189999999999997</v>
      </c>
      <c r="AP11">
        <v>0.13270000000000001</v>
      </c>
      <c r="AQ11" t="s">
        <v>266</v>
      </c>
      <c r="AR11">
        <v>1.8258000000000001</v>
      </c>
      <c r="AS11">
        <v>0.43659999999999999</v>
      </c>
      <c r="AT11" t="s">
        <v>267</v>
      </c>
      <c r="AU11" s="8" t="s">
        <v>18</v>
      </c>
      <c r="AV11" s="8" t="s">
        <v>9</v>
      </c>
    </row>
    <row r="12" spans="1:48" ht="22.5" customHeight="1">
      <c r="A12" s="8" t="s">
        <v>150</v>
      </c>
      <c r="B12" t="s">
        <v>268</v>
      </c>
      <c r="C12" s="9" t="s">
        <v>269</v>
      </c>
      <c r="D12" s="9">
        <v>2024</v>
      </c>
      <c r="E12" s="9" t="s">
        <v>269</v>
      </c>
      <c r="F12" s="31" t="s">
        <v>270</v>
      </c>
      <c r="G12" s="8" t="s">
        <v>154</v>
      </c>
      <c r="H12" s="8" t="s">
        <v>155</v>
      </c>
      <c r="I12" s="8" t="s">
        <v>156</v>
      </c>
      <c r="J12" s="8" t="s">
        <v>157</v>
      </c>
      <c r="K12" s="8" t="s">
        <v>206</v>
      </c>
      <c r="L12" s="8" t="s">
        <v>207</v>
      </c>
      <c r="M12" s="8" t="s">
        <v>271</v>
      </c>
      <c r="N12" s="8" t="s">
        <v>272</v>
      </c>
      <c r="O12" s="8" t="s">
        <v>162</v>
      </c>
      <c r="P12" s="8" t="s">
        <v>9</v>
      </c>
      <c r="Q12" s="8" t="s">
        <v>163</v>
      </c>
      <c r="R12" s="8" t="s">
        <v>273</v>
      </c>
      <c r="S12" s="8" t="s">
        <v>274</v>
      </c>
      <c r="T12" s="8" t="s">
        <v>275</v>
      </c>
      <c r="U12" s="8" t="s">
        <v>196</v>
      </c>
      <c r="V12" s="8" t="s">
        <v>196</v>
      </c>
      <c r="W12" s="8" t="s">
        <v>276</v>
      </c>
      <c r="X12" s="8" t="s">
        <v>169</v>
      </c>
      <c r="Y12" s="8">
        <v>8</v>
      </c>
      <c r="Z12" s="8">
        <v>16</v>
      </c>
      <c r="AA12" s="8">
        <v>12</v>
      </c>
      <c r="AB12" s="8">
        <v>12</v>
      </c>
      <c r="AC12" s="8">
        <v>48</v>
      </c>
      <c r="AD12" s="8"/>
      <c r="AE12" s="8"/>
      <c r="AF12" s="8"/>
      <c r="AG12" s="8"/>
      <c r="AH12" s="8"/>
      <c r="AI12" s="8"/>
      <c r="AJ12" s="8"/>
      <c r="AK12" s="8"/>
      <c r="AL12" s="8" t="s">
        <v>170</v>
      </c>
      <c r="AM12" s="8" t="s">
        <v>171</v>
      </c>
      <c r="AN12" s="8" t="s">
        <v>277</v>
      </c>
      <c r="AO12">
        <v>-0.376</v>
      </c>
      <c r="AP12">
        <v>0.1042</v>
      </c>
      <c r="AQ12" t="s">
        <v>278</v>
      </c>
      <c r="AR12">
        <v>0.5</v>
      </c>
      <c r="AS12">
        <v>0.35420000000000001</v>
      </c>
      <c r="AT12" t="s">
        <v>279</v>
      </c>
      <c r="AU12" s="8" t="s">
        <v>18</v>
      </c>
      <c r="AV12" s="8" t="s">
        <v>9</v>
      </c>
    </row>
    <row r="13" spans="1:48" ht="22.5" customHeight="1">
      <c r="A13" s="8" t="s">
        <v>150</v>
      </c>
      <c r="B13" t="s">
        <v>280</v>
      </c>
      <c r="C13" s="9" t="s">
        <v>269</v>
      </c>
      <c r="D13" s="9">
        <v>2024</v>
      </c>
      <c r="E13" s="9" t="s">
        <v>269</v>
      </c>
      <c r="F13" s="31" t="s">
        <v>270</v>
      </c>
      <c r="G13" s="8" t="s">
        <v>154</v>
      </c>
      <c r="H13" s="8" t="s">
        <v>176</v>
      </c>
      <c r="I13" s="8" t="s">
        <v>156</v>
      </c>
      <c r="J13" s="8" t="s">
        <v>157</v>
      </c>
      <c r="K13" s="8" t="s">
        <v>206</v>
      </c>
      <c r="L13" s="8" t="s">
        <v>281</v>
      </c>
      <c r="M13" s="8" t="s">
        <v>271</v>
      </c>
      <c r="N13" s="8" t="s">
        <v>282</v>
      </c>
      <c r="O13" s="8" t="s">
        <v>162</v>
      </c>
      <c r="P13" s="8" t="s">
        <v>9</v>
      </c>
      <c r="Q13" s="8" t="s">
        <v>163</v>
      </c>
      <c r="R13" s="8" t="s">
        <v>273</v>
      </c>
      <c r="S13" s="8" t="s">
        <v>274</v>
      </c>
      <c r="T13" s="8" t="s">
        <v>275</v>
      </c>
      <c r="U13" s="8" t="s">
        <v>196</v>
      </c>
      <c r="V13" s="8" t="s">
        <v>196</v>
      </c>
      <c r="W13" s="8" t="s">
        <v>276</v>
      </c>
      <c r="X13" s="8" t="s">
        <v>169</v>
      </c>
      <c r="Y13" s="8">
        <v>13</v>
      </c>
      <c r="Z13" s="8">
        <v>13</v>
      </c>
      <c r="AA13" s="8">
        <v>13</v>
      </c>
      <c r="AB13" s="8">
        <v>13</v>
      </c>
      <c r="AC13" s="8">
        <v>52</v>
      </c>
      <c r="AD13" s="8"/>
      <c r="AE13" s="8"/>
      <c r="AF13" s="8"/>
      <c r="AG13" s="8"/>
      <c r="AH13" s="8"/>
      <c r="AI13" s="8"/>
      <c r="AJ13" s="8"/>
      <c r="AK13" s="8"/>
      <c r="AL13" s="8" t="s">
        <v>170</v>
      </c>
      <c r="AM13" s="8" t="s">
        <v>171</v>
      </c>
      <c r="AN13" s="8" t="s">
        <v>277</v>
      </c>
      <c r="AO13">
        <v>0</v>
      </c>
      <c r="AP13">
        <v>9.0800000000000006E-2</v>
      </c>
      <c r="AQ13" t="s">
        <v>283</v>
      </c>
      <c r="AR13">
        <v>1</v>
      </c>
      <c r="AS13">
        <v>0.30769999999999997</v>
      </c>
      <c r="AT13" t="s">
        <v>284</v>
      </c>
      <c r="AU13" s="8" t="s">
        <v>18</v>
      </c>
      <c r="AV13" s="8" t="s">
        <v>9</v>
      </c>
    </row>
    <row r="14" spans="1:48" ht="22.5" customHeight="1">
      <c r="A14" s="8" t="s">
        <v>150</v>
      </c>
      <c r="B14" t="s">
        <v>285</v>
      </c>
      <c r="C14" s="9" t="s">
        <v>269</v>
      </c>
      <c r="D14" s="9">
        <v>2024</v>
      </c>
      <c r="E14" s="9" t="s">
        <v>269</v>
      </c>
      <c r="F14" s="31" t="s">
        <v>270</v>
      </c>
      <c r="G14" s="8" t="s">
        <v>154</v>
      </c>
      <c r="H14" s="8" t="s">
        <v>183</v>
      </c>
      <c r="I14" s="8" t="s">
        <v>156</v>
      </c>
      <c r="J14" s="8" t="s">
        <v>157</v>
      </c>
      <c r="K14" s="8" t="s">
        <v>206</v>
      </c>
      <c r="L14" s="8" t="s">
        <v>159</v>
      </c>
      <c r="M14" s="8" t="s">
        <v>271</v>
      </c>
      <c r="N14" s="8" t="s">
        <v>286</v>
      </c>
      <c r="O14" s="8" t="s">
        <v>162</v>
      </c>
      <c r="P14" s="8" t="s">
        <v>9</v>
      </c>
      <c r="Q14" s="8" t="s">
        <v>163</v>
      </c>
      <c r="R14" s="8" t="s">
        <v>273</v>
      </c>
      <c r="S14" s="8" t="s">
        <v>287</v>
      </c>
      <c r="T14" s="8" t="s">
        <v>275</v>
      </c>
      <c r="U14" s="8" t="s">
        <v>196</v>
      </c>
      <c r="V14" s="8" t="s">
        <v>196</v>
      </c>
      <c r="W14" s="8" t="s">
        <v>276</v>
      </c>
      <c r="X14" s="8" t="s">
        <v>178</v>
      </c>
      <c r="Y14" s="8">
        <v>18</v>
      </c>
      <c r="Z14" s="8">
        <v>6</v>
      </c>
      <c r="AA14" s="8">
        <v>12</v>
      </c>
      <c r="AB14" s="8">
        <v>12</v>
      </c>
      <c r="AC14" s="8">
        <v>48</v>
      </c>
      <c r="AD14" s="8"/>
      <c r="AE14" s="8"/>
      <c r="AF14" s="8"/>
      <c r="AG14" s="8"/>
      <c r="AH14" s="8"/>
      <c r="AI14" s="8"/>
      <c r="AJ14" s="8"/>
      <c r="AK14" s="8"/>
      <c r="AL14" s="8" t="s">
        <v>170</v>
      </c>
      <c r="AM14" s="8" t="s">
        <v>171</v>
      </c>
      <c r="AN14" s="8" t="s">
        <v>277</v>
      </c>
      <c r="AO14">
        <v>0.59599999999999997</v>
      </c>
      <c r="AP14">
        <v>0.1144</v>
      </c>
      <c r="AQ14" t="s">
        <v>288</v>
      </c>
      <c r="AR14">
        <v>3</v>
      </c>
      <c r="AS14">
        <v>0.38890000000000002</v>
      </c>
      <c r="AT14" t="s">
        <v>289</v>
      </c>
      <c r="AU14" s="8" t="s">
        <v>18</v>
      </c>
      <c r="AV14" s="8" t="s">
        <v>9</v>
      </c>
    </row>
    <row r="15" spans="1:48" ht="22.5" customHeight="1">
      <c r="A15" s="8" t="s">
        <v>150</v>
      </c>
      <c r="B15" t="s">
        <v>290</v>
      </c>
      <c r="C15" s="18" t="s">
        <v>291</v>
      </c>
      <c r="D15" s="9">
        <v>2025</v>
      </c>
      <c r="E15" s="9" t="s">
        <v>292</v>
      </c>
      <c r="F15" s="30" t="s">
        <v>270</v>
      </c>
      <c r="Y15" s="8" t="s">
        <v>196</v>
      </c>
      <c r="Z15" s="8" t="s">
        <v>196</v>
      </c>
      <c r="AA15" s="8" t="s">
        <v>196</v>
      </c>
      <c r="AB15" s="8" t="s">
        <v>196</v>
      </c>
      <c r="AC15" s="8" t="s">
        <v>196</v>
      </c>
      <c r="AM15" s="8"/>
      <c r="AN15" s="8" t="s">
        <v>293</v>
      </c>
      <c r="AU15" s="8" t="s">
        <v>18</v>
      </c>
      <c r="AV15" s="8" t="s">
        <v>18</v>
      </c>
    </row>
    <row r="16" spans="1:48" ht="22.5" customHeight="1">
      <c r="A16" s="8" t="s">
        <v>150</v>
      </c>
      <c r="B16" t="s">
        <v>294</v>
      </c>
      <c r="C16" s="9" t="s">
        <v>295</v>
      </c>
      <c r="D16" s="9">
        <v>2016</v>
      </c>
      <c r="E16" s="9" t="s">
        <v>295</v>
      </c>
      <c r="F16" s="31" t="s">
        <v>296</v>
      </c>
      <c r="G16" s="8" t="s">
        <v>154</v>
      </c>
      <c r="H16" s="8" t="s">
        <v>155</v>
      </c>
      <c r="I16" s="8" t="s">
        <v>205</v>
      </c>
      <c r="J16" s="8" t="s">
        <v>157</v>
      </c>
      <c r="K16" s="8" t="s">
        <v>206</v>
      </c>
      <c r="L16" s="8" t="s">
        <v>207</v>
      </c>
      <c r="M16" s="8" t="s">
        <v>208</v>
      </c>
      <c r="N16" s="8" t="s">
        <v>297</v>
      </c>
      <c r="O16" s="8" t="s">
        <v>162</v>
      </c>
      <c r="P16" s="8" t="s">
        <v>18</v>
      </c>
      <c r="Q16" s="8" t="s">
        <v>163</v>
      </c>
      <c r="R16" s="8" t="s">
        <v>273</v>
      </c>
      <c r="S16" s="8" t="s">
        <v>298</v>
      </c>
      <c r="T16" s="8" t="s">
        <v>299</v>
      </c>
      <c r="U16" s="8">
        <v>2.5325000000000002</v>
      </c>
      <c r="V16" s="8" t="s">
        <v>300</v>
      </c>
      <c r="W16" s="8" t="s">
        <v>301</v>
      </c>
      <c r="X16" s="8" t="s">
        <v>169</v>
      </c>
      <c r="Y16" s="8" t="s">
        <v>196</v>
      </c>
      <c r="Z16" s="8" t="s">
        <v>196</v>
      </c>
      <c r="AA16" s="8" t="s">
        <v>196</v>
      </c>
      <c r="AB16" s="8" t="s">
        <v>196</v>
      </c>
      <c r="AC16" s="8">
        <v>63</v>
      </c>
      <c r="AD16" s="8"/>
      <c r="AE16" s="8"/>
      <c r="AF16" s="8"/>
      <c r="AG16" s="8"/>
      <c r="AH16" s="8"/>
      <c r="AI16" s="8"/>
      <c r="AJ16" s="8"/>
      <c r="AK16" s="8"/>
      <c r="AL16" s="8" t="s">
        <v>236</v>
      </c>
      <c r="AM16" s="8" t="s">
        <v>302</v>
      </c>
      <c r="AN16" s="8" t="s">
        <v>303</v>
      </c>
      <c r="AU16" s="8" t="s">
        <v>18</v>
      </c>
      <c r="AV16" s="8" t="s">
        <v>9</v>
      </c>
    </row>
    <row r="17" spans="1:48" ht="22.5" customHeight="1">
      <c r="A17" s="8" t="s">
        <v>150</v>
      </c>
      <c r="B17" t="s">
        <v>304</v>
      </c>
      <c r="C17" s="9" t="s">
        <v>305</v>
      </c>
      <c r="D17" s="9">
        <v>2019</v>
      </c>
      <c r="E17" s="9" t="s">
        <v>306</v>
      </c>
      <c r="F17" s="30" t="s">
        <v>319</v>
      </c>
      <c r="G17" s="8" t="s">
        <v>154</v>
      </c>
      <c r="H17" s="8" t="s">
        <v>155</v>
      </c>
      <c r="I17" s="8" t="s">
        <v>156</v>
      </c>
      <c r="J17" s="8" t="s">
        <v>157</v>
      </c>
      <c r="K17" s="8" t="s">
        <v>206</v>
      </c>
      <c r="L17" s="8" t="s">
        <v>307</v>
      </c>
      <c r="M17" s="8" t="s">
        <v>208</v>
      </c>
      <c r="N17" s="8" t="s">
        <v>308</v>
      </c>
      <c r="O17" s="8" t="s">
        <v>162</v>
      </c>
      <c r="P17" s="8" t="s">
        <v>18</v>
      </c>
      <c r="Q17" s="8" t="s">
        <v>163</v>
      </c>
      <c r="R17" s="8" t="s">
        <v>211</v>
      </c>
      <c r="S17" s="8" t="s">
        <v>309</v>
      </c>
      <c r="T17" s="8" t="s">
        <v>310</v>
      </c>
      <c r="U17" s="8">
        <v>0.83</v>
      </c>
      <c r="V17" s="8" t="s">
        <v>311</v>
      </c>
      <c r="W17" s="8" t="s">
        <v>312</v>
      </c>
      <c r="X17" s="8" t="s">
        <v>178</v>
      </c>
      <c r="Y17" s="8">
        <v>8</v>
      </c>
      <c r="Z17" s="8">
        <v>2</v>
      </c>
      <c r="AA17" s="8">
        <v>5</v>
      </c>
      <c r="AB17" s="8">
        <v>5</v>
      </c>
      <c r="AC17" s="8">
        <v>10</v>
      </c>
      <c r="AD17" s="8"/>
      <c r="AE17" s="8"/>
      <c r="AF17" s="8"/>
      <c r="AG17" s="8"/>
      <c r="AH17" s="8"/>
      <c r="AI17" s="8"/>
      <c r="AJ17" s="8"/>
      <c r="AK17" s="8"/>
      <c r="AL17" s="8" t="s">
        <v>170</v>
      </c>
      <c r="AM17" s="8" t="s">
        <v>171</v>
      </c>
      <c r="AN17" s="8" t="s">
        <v>313</v>
      </c>
      <c r="AO17">
        <v>0.69879999999999998</v>
      </c>
      <c r="AP17">
        <v>0.26040000000000002</v>
      </c>
      <c r="AQ17" t="s">
        <v>314</v>
      </c>
      <c r="AR17">
        <v>4</v>
      </c>
      <c r="AS17">
        <v>1.0249999999999999</v>
      </c>
      <c r="AT17" t="s">
        <v>315</v>
      </c>
      <c r="AU17" s="8" t="s">
        <v>18</v>
      </c>
      <c r="AV17" s="8" t="s">
        <v>9</v>
      </c>
    </row>
    <row r="18" spans="1:48" ht="22.5" customHeight="1">
      <c r="A18" s="8" t="s">
        <v>150</v>
      </c>
      <c r="B18" t="s">
        <v>316</v>
      </c>
      <c r="C18" s="9" t="s">
        <v>317</v>
      </c>
      <c r="D18" s="9">
        <v>2022</v>
      </c>
      <c r="E18" s="9" t="s">
        <v>318</v>
      </c>
      <c r="F18" s="31" t="s">
        <v>319</v>
      </c>
      <c r="G18" s="8" t="s">
        <v>154</v>
      </c>
      <c r="H18" s="8" t="s">
        <v>155</v>
      </c>
      <c r="I18" s="8" t="s">
        <v>156</v>
      </c>
      <c r="J18" s="8" t="s">
        <v>157</v>
      </c>
      <c r="K18" s="8" t="s">
        <v>206</v>
      </c>
      <c r="L18" s="8" t="s">
        <v>307</v>
      </c>
      <c r="M18" s="8" t="s">
        <v>208</v>
      </c>
      <c r="N18" s="8" t="s">
        <v>320</v>
      </c>
      <c r="O18" s="8" t="s">
        <v>162</v>
      </c>
      <c r="P18" s="8" t="s">
        <v>18</v>
      </c>
      <c r="Q18" s="8" t="s">
        <v>163</v>
      </c>
      <c r="R18" s="8" t="s">
        <v>211</v>
      </c>
      <c r="S18" s="8" t="s">
        <v>321</v>
      </c>
      <c r="T18" s="8" t="s">
        <v>310</v>
      </c>
      <c r="U18" s="8">
        <v>0.72</v>
      </c>
      <c r="V18" s="8" t="s">
        <v>322</v>
      </c>
      <c r="W18" s="8" t="s">
        <v>323</v>
      </c>
      <c r="X18" s="8" t="s">
        <v>178</v>
      </c>
      <c r="Y18" s="8">
        <v>6</v>
      </c>
      <c r="Z18" s="8">
        <v>2</v>
      </c>
      <c r="AA18" s="8">
        <v>4</v>
      </c>
      <c r="AB18" s="8">
        <v>4</v>
      </c>
      <c r="AC18" s="8">
        <v>16</v>
      </c>
      <c r="AD18" s="8"/>
      <c r="AE18" s="8"/>
      <c r="AF18" s="8"/>
      <c r="AG18" s="8"/>
      <c r="AH18" s="8"/>
      <c r="AI18" s="8"/>
      <c r="AJ18" s="8"/>
      <c r="AK18" s="8"/>
      <c r="AL18" s="8" t="s">
        <v>170</v>
      </c>
      <c r="AM18" s="8" t="s">
        <v>171</v>
      </c>
      <c r="AN18" s="8" t="s">
        <v>324</v>
      </c>
      <c r="AO18">
        <v>0.57489999999999997</v>
      </c>
      <c r="AP18">
        <v>0.31950000000000001</v>
      </c>
      <c r="AQ18" t="s">
        <v>325</v>
      </c>
      <c r="AR18">
        <v>3</v>
      </c>
      <c r="AS18">
        <v>1.1667000000000001</v>
      </c>
      <c r="AT18" t="s">
        <v>326</v>
      </c>
      <c r="AU18" s="8" t="s">
        <v>18</v>
      </c>
      <c r="AV18" s="8" t="s">
        <v>9</v>
      </c>
    </row>
    <row r="19" spans="1:48" ht="22.5" customHeight="1">
      <c r="A19" s="8" t="s">
        <v>150</v>
      </c>
      <c r="B19" t="s">
        <v>327</v>
      </c>
      <c r="C19" s="9" t="s">
        <v>328</v>
      </c>
      <c r="D19" s="9">
        <v>2015</v>
      </c>
      <c r="E19" s="9" t="s">
        <v>329</v>
      </c>
      <c r="F19" s="31" t="s">
        <v>330</v>
      </c>
      <c r="G19" s="8" t="s">
        <v>154</v>
      </c>
      <c r="H19" s="8" t="s">
        <v>155</v>
      </c>
      <c r="I19" s="8" t="s">
        <v>205</v>
      </c>
      <c r="J19" s="8" t="s">
        <v>157</v>
      </c>
      <c r="K19" s="8" t="s">
        <v>158</v>
      </c>
      <c r="L19" s="8" t="s">
        <v>207</v>
      </c>
      <c r="M19" s="8" t="s">
        <v>208</v>
      </c>
      <c r="N19" s="8" t="s">
        <v>331</v>
      </c>
      <c r="O19" s="8" t="s">
        <v>162</v>
      </c>
      <c r="P19" s="8" t="s">
        <v>18</v>
      </c>
      <c r="Q19" s="8" t="s">
        <v>163</v>
      </c>
      <c r="R19" s="8" t="s">
        <v>273</v>
      </c>
      <c r="S19" s="8" t="s">
        <v>332</v>
      </c>
      <c r="T19" s="8" t="s">
        <v>333</v>
      </c>
      <c r="U19" s="8">
        <v>-2.323</v>
      </c>
      <c r="V19" s="8" t="s">
        <v>334</v>
      </c>
      <c r="W19" s="8" t="s">
        <v>335</v>
      </c>
      <c r="X19" s="8" t="s">
        <v>178</v>
      </c>
      <c r="Y19" s="8" t="s">
        <v>196</v>
      </c>
      <c r="Z19" s="8" t="s">
        <v>196</v>
      </c>
      <c r="AA19" s="8" t="s">
        <v>196</v>
      </c>
      <c r="AB19" s="8" t="s">
        <v>196</v>
      </c>
      <c r="AC19" s="8">
        <v>15</v>
      </c>
      <c r="AD19" s="8"/>
      <c r="AE19" s="8"/>
      <c r="AF19" s="8"/>
      <c r="AG19" s="8"/>
      <c r="AH19" s="8"/>
      <c r="AI19" s="8"/>
      <c r="AJ19" s="8"/>
      <c r="AK19" s="8"/>
      <c r="AL19" s="8" t="s">
        <v>253</v>
      </c>
      <c r="AM19" s="8" t="s">
        <v>302</v>
      </c>
      <c r="AO19">
        <v>-0.56710000000000005</v>
      </c>
      <c r="AP19">
        <v>7.8200000000000006E-2</v>
      </c>
      <c r="AQ19" t="s">
        <v>336</v>
      </c>
      <c r="AR19">
        <v>0.35749999999999998</v>
      </c>
      <c r="AS19">
        <v>0.25729999999999997</v>
      </c>
      <c r="AT19" t="s">
        <v>337</v>
      </c>
      <c r="AU19" s="8" t="s">
        <v>18</v>
      </c>
      <c r="AV19" s="8" t="s">
        <v>9</v>
      </c>
    </row>
    <row r="20" spans="1:48" ht="22.5" customHeight="1">
      <c r="A20" s="8" t="s">
        <v>150</v>
      </c>
      <c r="B20" t="s">
        <v>338</v>
      </c>
      <c r="C20" s="9" t="s">
        <v>339</v>
      </c>
      <c r="D20" s="9">
        <v>2017</v>
      </c>
      <c r="E20" s="9" t="s">
        <v>340</v>
      </c>
      <c r="F20" s="30" t="s">
        <v>330</v>
      </c>
      <c r="G20" s="8" t="s">
        <v>154</v>
      </c>
      <c r="H20" s="8" t="s">
        <v>155</v>
      </c>
      <c r="I20" s="8" t="s">
        <v>205</v>
      </c>
      <c r="J20" s="8" t="s">
        <v>157</v>
      </c>
      <c r="K20" s="8" t="s">
        <v>158</v>
      </c>
      <c r="L20" s="8" t="s">
        <v>207</v>
      </c>
      <c r="M20" s="8" t="s">
        <v>208</v>
      </c>
      <c r="N20" s="8" t="s">
        <v>341</v>
      </c>
      <c r="O20" s="8" t="s">
        <v>162</v>
      </c>
      <c r="P20" s="8" t="s">
        <v>9</v>
      </c>
      <c r="Q20" s="8" t="s">
        <v>163</v>
      </c>
      <c r="R20" s="8" t="s">
        <v>273</v>
      </c>
      <c r="S20" s="8" t="s">
        <v>342</v>
      </c>
      <c r="T20" s="8" t="s">
        <v>333</v>
      </c>
      <c r="U20" s="8">
        <v>-2.1469999999999998</v>
      </c>
      <c r="V20" s="8" t="s">
        <v>343</v>
      </c>
      <c r="W20" s="8" t="s">
        <v>344</v>
      </c>
      <c r="X20" s="8" t="s">
        <v>169</v>
      </c>
      <c r="Y20" s="8" t="s">
        <v>196</v>
      </c>
      <c r="Z20" s="8" t="s">
        <v>196</v>
      </c>
      <c r="AA20" s="8" t="s">
        <v>196</v>
      </c>
      <c r="AB20" s="8" t="s">
        <v>196</v>
      </c>
      <c r="AC20" s="8">
        <v>15</v>
      </c>
      <c r="AD20" s="8"/>
      <c r="AE20" s="8"/>
      <c r="AF20" s="8"/>
      <c r="AG20" s="8"/>
      <c r="AH20" s="8"/>
      <c r="AI20" s="8"/>
      <c r="AJ20" s="8"/>
      <c r="AK20" s="8"/>
      <c r="AL20" s="8" t="s">
        <v>253</v>
      </c>
      <c r="AM20" s="8" t="s">
        <v>302</v>
      </c>
      <c r="AO20">
        <v>-0.52410000000000001</v>
      </c>
      <c r="AP20">
        <v>7.6499999999999999E-2</v>
      </c>
      <c r="AQ20" t="s">
        <v>345</v>
      </c>
      <c r="AR20">
        <v>0.38650000000000001</v>
      </c>
      <c r="AS20">
        <v>0.25169999999999998</v>
      </c>
      <c r="AT20" t="s">
        <v>346</v>
      </c>
      <c r="AU20" s="8" t="s">
        <v>18</v>
      </c>
      <c r="AV20" s="8" t="s">
        <v>9</v>
      </c>
    </row>
    <row r="21" spans="1:48" ht="22.5" customHeight="1">
      <c r="A21" s="8" t="s">
        <v>150</v>
      </c>
      <c r="B21" t="s">
        <v>347</v>
      </c>
      <c r="C21" s="9" t="s">
        <v>339</v>
      </c>
      <c r="D21" s="9">
        <v>2017</v>
      </c>
      <c r="E21" s="9" t="s">
        <v>340</v>
      </c>
      <c r="F21" s="30" t="s">
        <v>330</v>
      </c>
      <c r="G21" s="8" t="s">
        <v>154</v>
      </c>
      <c r="H21" s="8" t="s">
        <v>176</v>
      </c>
      <c r="I21" s="8" t="s">
        <v>205</v>
      </c>
      <c r="J21" s="8" t="s">
        <v>157</v>
      </c>
      <c r="K21" s="8" t="s">
        <v>158</v>
      </c>
      <c r="L21" s="8" t="s">
        <v>207</v>
      </c>
      <c r="M21" s="8" t="s">
        <v>208</v>
      </c>
      <c r="N21" s="8" t="s">
        <v>348</v>
      </c>
      <c r="O21" s="8" t="s">
        <v>162</v>
      </c>
      <c r="P21" s="8" t="s">
        <v>9</v>
      </c>
      <c r="Q21" s="8" t="s">
        <v>163</v>
      </c>
      <c r="R21" s="8" t="s">
        <v>273</v>
      </c>
      <c r="S21" s="8" t="s">
        <v>349</v>
      </c>
      <c r="T21" s="8" t="s">
        <v>333</v>
      </c>
      <c r="U21" s="8">
        <v>1.677</v>
      </c>
      <c r="V21" s="8" t="s">
        <v>350</v>
      </c>
      <c r="W21" s="8" t="s">
        <v>344</v>
      </c>
      <c r="X21" s="8" t="s">
        <v>169</v>
      </c>
      <c r="Y21" s="8" t="s">
        <v>196</v>
      </c>
      <c r="Z21" s="8" t="s">
        <v>196</v>
      </c>
      <c r="AA21" s="8" t="s">
        <v>196</v>
      </c>
      <c r="AB21" s="8" t="s">
        <v>196</v>
      </c>
      <c r="AC21" s="8">
        <v>15</v>
      </c>
      <c r="AD21" s="8"/>
      <c r="AE21" s="8"/>
      <c r="AF21" s="8"/>
      <c r="AG21" s="8"/>
      <c r="AH21" s="8"/>
      <c r="AI21" s="8"/>
      <c r="AJ21" s="8"/>
      <c r="AK21" s="8"/>
      <c r="AL21" s="8" t="s">
        <v>253</v>
      </c>
      <c r="AM21" s="8" t="s">
        <v>302</v>
      </c>
      <c r="AO21">
        <v>0.40939999999999999</v>
      </c>
      <c r="AP21">
        <v>7.2700000000000001E-2</v>
      </c>
      <c r="AQ21" t="s">
        <v>351</v>
      </c>
      <c r="AR21">
        <v>2.1013000000000002</v>
      </c>
      <c r="AS21">
        <v>0.2392</v>
      </c>
      <c r="AT21" t="s">
        <v>352</v>
      </c>
      <c r="AU21" s="8" t="s">
        <v>18</v>
      </c>
      <c r="AV21" s="8" t="s">
        <v>9</v>
      </c>
    </row>
    <row r="22" spans="1:48" ht="22.5" customHeight="1">
      <c r="A22" s="8" t="s">
        <v>150</v>
      </c>
      <c r="B22" t="s">
        <v>353</v>
      </c>
      <c r="C22" s="9" t="s">
        <v>354</v>
      </c>
      <c r="D22" s="9">
        <v>2026</v>
      </c>
      <c r="E22" s="9" t="s">
        <v>355</v>
      </c>
      <c r="F22" s="30" t="s">
        <v>296</v>
      </c>
      <c r="G22" s="8" t="s">
        <v>154</v>
      </c>
      <c r="H22" s="8" t="s">
        <v>155</v>
      </c>
      <c r="I22" s="8" t="s">
        <v>205</v>
      </c>
      <c r="J22" s="8" t="s">
        <v>157</v>
      </c>
      <c r="K22" s="8" t="s">
        <v>206</v>
      </c>
      <c r="L22" s="8" t="s">
        <v>207</v>
      </c>
      <c r="M22" s="8" t="s">
        <v>208</v>
      </c>
      <c r="N22" s="8" t="s">
        <v>356</v>
      </c>
      <c r="O22" s="8" t="s">
        <v>162</v>
      </c>
      <c r="P22" s="8" t="s">
        <v>18</v>
      </c>
      <c r="Q22" s="8" t="s">
        <v>163</v>
      </c>
      <c r="R22" s="8" t="s">
        <v>211</v>
      </c>
      <c r="S22" s="8" t="s">
        <v>357</v>
      </c>
      <c r="T22" s="8" t="s">
        <v>358</v>
      </c>
      <c r="U22" s="8">
        <v>-50</v>
      </c>
      <c r="V22" s="8" t="s">
        <v>359</v>
      </c>
      <c r="W22" s="8" t="s">
        <v>360</v>
      </c>
      <c r="X22" s="8" t="s">
        <v>178</v>
      </c>
      <c r="Y22" s="8" t="s">
        <v>196</v>
      </c>
      <c r="Z22" s="8" t="s">
        <v>196</v>
      </c>
      <c r="AA22" s="8" t="s">
        <v>196</v>
      </c>
      <c r="AB22" s="8" t="s">
        <v>196</v>
      </c>
      <c r="AC22" s="8">
        <v>21</v>
      </c>
      <c r="AD22" s="8">
        <v>75</v>
      </c>
      <c r="AE22" s="8">
        <v>88.9</v>
      </c>
      <c r="AF22" s="8">
        <v>19.399999999999999</v>
      </c>
      <c r="AG22" s="8">
        <v>21</v>
      </c>
      <c r="AH22" s="8">
        <v>-50</v>
      </c>
      <c r="AI22" s="8">
        <v>42.2</v>
      </c>
      <c r="AJ22" s="8">
        <v>9.1999999999999993</v>
      </c>
      <c r="AK22" s="8">
        <v>21</v>
      </c>
      <c r="AL22" s="8" t="s">
        <v>253</v>
      </c>
      <c r="AM22" s="8" t="s">
        <v>216</v>
      </c>
      <c r="AN22" s="8" t="s">
        <v>361</v>
      </c>
      <c r="AO22" s="8">
        <v>-1.7625</v>
      </c>
      <c r="AP22" s="8">
        <v>0.1341</v>
      </c>
      <c r="AQ22" s="8" t="s">
        <v>362</v>
      </c>
      <c r="AR22">
        <v>4.0899999999999999E-2</v>
      </c>
      <c r="AS22">
        <v>0.44119999999999998</v>
      </c>
      <c r="AT22" t="s">
        <v>363</v>
      </c>
      <c r="AU22" s="8" t="s">
        <v>18</v>
      </c>
      <c r="AV22" s="8" t="s">
        <v>9</v>
      </c>
    </row>
    <row r="23" spans="1:48" ht="22.5" customHeight="1">
      <c r="A23" s="8" t="s">
        <v>150</v>
      </c>
      <c r="B23" t="s">
        <v>364</v>
      </c>
      <c r="C23" s="9" t="s">
        <v>354</v>
      </c>
      <c r="D23" s="9">
        <v>2026</v>
      </c>
      <c r="E23" s="9" t="s">
        <v>355</v>
      </c>
      <c r="F23" s="30" t="s">
        <v>296</v>
      </c>
      <c r="G23" s="8" t="s">
        <v>154</v>
      </c>
      <c r="H23" s="8" t="s">
        <v>176</v>
      </c>
      <c r="I23" s="8" t="s">
        <v>205</v>
      </c>
      <c r="J23" s="8" t="s">
        <v>157</v>
      </c>
      <c r="K23" s="8" t="s">
        <v>206</v>
      </c>
      <c r="L23" s="8" t="s">
        <v>207</v>
      </c>
      <c r="M23" s="8" t="s">
        <v>208</v>
      </c>
      <c r="N23" s="8" t="s">
        <v>365</v>
      </c>
      <c r="O23" s="8" t="s">
        <v>162</v>
      </c>
      <c r="P23" s="8" t="s">
        <v>18</v>
      </c>
      <c r="Q23" s="8" t="s">
        <v>163</v>
      </c>
      <c r="R23" s="8" t="s">
        <v>211</v>
      </c>
      <c r="S23" s="8" t="s">
        <v>366</v>
      </c>
      <c r="T23" s="8" t="s">
        <v>358</v>
      </c>
      <c r="U23" s="8">
        <v>65</v>
      </c>
      <c r="V23" s="8" t="s">
        <v>367</v>
      </c>
      <c r="W23" s="8" t="s">
        <v>360</v>
      </c>
      <c r="X23" s="8" t="s">
        <v>169</v>
      </c>
      <c r="Y23" s="8" t="s">
        <v>196</v>
      </c>
      <c r="Z23" s="8" t="s">
        <v>196</v>
      </c>
      <c r="AA23" s="8" t="s">
        <v>196</v>
      </c>
      <c r="AB23" s="8" t="s">
        <v>196</v>
      </c>
      <c r="AC23" s="8">
        <v>21</v>
      </c>
      <c r="AD23" s="8">
        <v>95</v>
      </c>
      <c r="AE23" s="8">
        <v>100.4</v>
      </c>
      <c r="AF23" s="8">
        <v>21.9</v>
      </c>
      <c r="AG23" s="8">
        <v>21</v>
      </c>
      <c r="AH23" s="8">
        <v>65</v>
      </c>
      <c r="AI23" s="8">
        <v>67.8</v>
      </c>
      <c r="AJ23" s="8">
        <v>14.8</v>
      </c>
      <c r="AK23" s="8">
        <v>21</v>
      </c>
      <c r="AL23" s="8" t="s">
        <v>253</v>
      </c>
      <c r="AM23" s="8" t="s">
        <v>216</v>
      </c>
      <c r="AN23" s="8" t="s">
        <v>361</v>
      </c>
      <c r="AO23" s="8">
        <v>-0.34360000000000002</v>
      </c>
      <c r="AP23" s="8">
        <v>9.6699999999999994E-2</v>
      </c>
      <c r="AQ23" s="8" t="s">
        <v>362</v>
      </c>
      <c r="AR23">
        <v>0.53620000000000001</v>
      </c>
      <c r="AS23">
        <v>0.31809999999999999</v>
      </c>
      <c r="AT23" t="s">
        <v>368</v>
      </c>
      <c r="AU23" s="8" t="s">
        <v>18</v>
      </c>
      <c r="AV23" s="8" t="s">
        <v>9</v>
      </c>
    </row>
    <row r="24" spans="1:48" ht="22.5" customHeight="1">
      <c r="A24" s="8" t="s">
        <v>150</v>
      </c>
      <c r="B24" t="s">
        <v>369</v>
      </c>
      <c r="C24" s="9" t="s">
        <v>354</v>
      </c>
      <c r="D24" s="9">
        <v>2026</v>
      </c>
      <c r="E24" s="9" t="s">
        <v>355</v>
      </c>
      <c r="F24" s="30" t="s">
        <v>296</v>
      </c>
      <c r="G24" s="8" t="s">
        <v>154</v>
      </c>
      <c r="H24" s="8" t="s">
        <v>183</v>
      </c>
      <c r="I24" s="8" t="s">
        <v>205</v>
      </c>
      <c r="J24" s="8" t="s">
        <v>157</v>
      </c>
      <c r="K24" s="8" t="s">
        <v>206</v>
      </c>
      <c r="L24" s="8" t="s">
        <v>207</v>
      </c>
      <c r="M24" s="8" t="s">
        <v>208</v>
      </c>
      <c r="N24" s="8" t="s">
        <v>370</v>
      </c>
      <c r="O24" s="8" t="s">
        <v>162</v>
      </c>
      <c r="P24" s="8" t="s">
        <v>18</v>
      </c>
      <c r="Q24" s="8" t="s">
        <v>163</v>
      </c>
      <c r="R24" s="8" t="s">
        <v>211</v>
      </c>
      <c r="S24" s="8" t="s">
        <v>371</v>
      </c>
      <c r="T24" s="8" t="s">
        <v>358</v>
      </c>
      <c r="U24" s="8">
        <v>-75</v>
      </c>
      <c r="V24" s="8" t="s">
        <v>372</v>
      </c>
      <c r="W24" s="8" t="s">
        <v>360</v>
      </c>
      <c r="X24" s="8" t="s">
        <v>178</v>
      </c>
      <c r="Y24" s="8" t="s">
        <v>196</v>
      </c>
      <c r="Z24" s="8" t="s">
        <v>196</v>
      </c>
      <c r="AA24" s="8" t="s">
        <v>196</v>
      </c>
      <c r="AB24" s="8" t="s">
        <v>196</v>
      </c>
      <c r="AC24" s="8">
        <v>20</v>
      </c>
      <c r="AD24" s="8">
        <v>110</v>
      </c>
      <c r="AE24" s="8">
        <v>132.4</v>
      </c>
      <c r="AF24" s="8">
        <v>29.6</v>
      </c>
      <c r="AG24" s="8">
        <v>20</v>
      </c>
      <c r="AH24" s="8">
        <v>-75</v>
      </c>
      <c r="AI24" s="8">
        <v>125.7</v>
      </c>
      <c r="AJ24" s="8">
        <v>28.1</v>
      </c>
      <c r="AK24" s="8">
        <v>20</v>
      </c>
      <c r="AL24" s="8" t="s">
        <v>253</v>
      </c>
      <c r="AM24" s="8" t="s">
        <v>216</v>
      </c>
      <c r="AN24" s="8" t="s">
        <v>361</v>
      </c>
      <c r="AO24" s="8">
        <v>-1.4046000000000001</v>
      </c>
      <c r="AP24" s="8">
        <v>0.126</v>
      </c>
      <c r="AQ24" s="8" t="s">
        <v>362</v>
      </c>
      <c r="AR24">
        <v>7.8299999999999995E-2</v>
      </c>
      <c r="AS24">
        <v>0.41449999999999998</v>
      </c>
      <c r="AT24" t="s">
        <v>373</v>
      </c>
      <c r="AU24" s="8" t="s">
        <v>18</v>
      </c>
      <c r="AV24" s="8" t="s">
        <v>9</v>
      </c>
    </row>
    <row r="25" spans="1:48" ht="22.5" customHeight="1">
      <c r="A25" s="8" t="s">
        <v>150</v>
      </c>
      <c r="B25" t="s">
        <v>374</v>
      </c>
      <c r="C25" s="9" t="s">
        <v>354</v>
      </c>
      <c r="D25" s="9">
        <v>2026</v>
      </c>
      <c r="E25" s="9" t="s">
        <v>355</v>
      </c>
      <c r="F25" s="30" t="s">
        <v>296</v>
      </c>
      <c r="G25" s="8" t="s">
        <v>154</v>
      </c>
      <c r="H25" s="8" t="s">
        <v>375</v>
      </c>
      <c r="I25" s="8" t="s">
        <v>205</v>
      </c>
      <c r="J25" s="8" t="s">
        <v>157</v>
      </c>
      <c r="K25" s="8" t="s">
        <v>206</v>
      </c>
      <c r="L25" s="8" t="s">
        <v>207</v>
      </c>
      <c r="M25" s="8" t="s">
        <v>208</v>
      </c>
      <c r="N25" s="8" t="s">
        <v>376</v>
      </c>
      <c r="O25" s="8" t="s">
        <v>162</v>
      </c>
      <c r="P25" s="8" t="s">
        <v>18</v>
      </c>
      <c r="Q25" s="8" t="s">
        <v>163</v>
      </c>
      <c r="R25" s="8" t="s">
        <v>211</v>
      </c>
      <c r="S25" s="8" t="s">
        <v>377</v>
      </c>
      <c r="T25" s="8" t="s">
        <v>358</v>
      </c>
      <c r="U25" s="8">
        <v>-10</v>
      </c>
      <c r="V25" s="8" t="s">
        <v>378</v>
      </c>
      <c r="W25" s="8" t="s">
        <v>360</v>
      </c>
      <c r="X25" s="8" t="s">
        <v>169</v>
      </c>
      <c r="Y25" s="8" t="s">
        <v>196</v>
      </c>
      <c r="Z25" s="8" t="s">
        <v>196</v>
      </c>
      <c r="AA25" s="8" t="s">
        <v>196</v>
      </c>
      <c r="AB25" s="8" t="s">
        <v>196</v>
      </c>
      <c r="AC25" s="8">
        <v>20</v>
      </c>
      <c r="AD25" s="8">
        <v>120</v>
      </c>
      <c r="AE25" s="8">
        <v>127.9</v>
      </c>
      <c r="AF25" s="8">
        <v>28.6</v>
      </c>
      <c r="AG25" s="8">
        <v>20</v>
      </c>
      <c r="AH25" s="8">
        <v>-10</v>
      </c>
      <c r="AI25" s="8">
        <v>142.69999999999999</v>
      </c>
      <c r="AJ25" s="8">
        <v>31.9</v>
      </c>
      <c r="AK25" s="8">
        <v>20</v>
      </c>
      <c r="AL25" s="8" t="s">
        <v>253</v>
      </c>
      <c r="AM25" s="8" t="s">
        <v>216</v>
      </c>
      <c r="AN25" s="8" t="s">
        <v>361</v>
      </c>
      <c r="AO25" s="8">
        <v>-0.94030000000000002</v>
      </c>
      <c r="AP25" s="8">
        <v>0.1116</v>
      </c>
      <c r="AQ25" s="8" t="s">
        <v>362</v>
      </c>
      <c r="AR25">
        <v>0.1817</v>
      </c>
      <c r="AS25">
        <v>0.36709999999999998</v>
      </c>
      <c r="AT25" t="s">
        <v>379</v>
      </c>
      <c r="AU25" s="8" t="s">
        <v>18</v>
      </c>
      <c r="AV25" s="8" t="s">
        <v>9</v>
      </c>
    </row>
    <row r="26" spans="1:48" ht="22.5" customHeight="1">
      <c r="A26" s="8" t="s">
        <v>150</v>
      </c>
      <c r="B26" t="s">
        <v>380</v>
      </c>
      <c r="C26" s="9" t="s">
        <v>354</v>
      </c>
      <c r="D26" s="9">
        <v>2026</v>
      </c>
      <c r="E26" s="9" t="s">
        <v>355</v>
      </c>
      <c r="F26" s="30" t="s">
        <v>296</v>
      </c>
      <c r="G26" s="8" t="s">
        <v>154</v>
      </c>
      <c r="H26" s="8" t="s">
        <v>381</v>
      </c>
      <c r="I26" s="8" t="s">
        <v>205</v>
      </c>
      <c r="J26" s="8" t="s">
        <v>157</v>
      </c>
      <c r="K26" s="8" t="s">
        <v>206</v>
      </c>
      <c r="L26" s="8" t="s">
        <v>207</v>
      </c>
      <c r="M26" s="8" t="s">
        <v>208</v>
      </c>
      <c r="N26" s="8" t="s">
        <v>382</v>
      </c>
      <c r="O26" s="8" t="s">
        <v>162</v>
      </c>
      <c r="P26" s="8" t="s">
        <v>18</v>
      </c>
      <c r="Q26" s="8" t="s">
        <v>163</v>
      </c>
      <c r="R26" s="8" t="s">
        <v>211</v>
      </c>
      <c r="S26" s="8" t="s">
        <v>383</v>
      </c>
      <c r="T26" s="8" t="s">
        <v>358</v>
      </c>
      <c r="U26" s="8">
        <v>-65</v>
      </c>
      <c r="V26" s="8" t="s">
        <v>384</v>
      </c>
      <c r="W26" s="8" t="s">
        <v>360</v>
      </c>
      <c r="X26" s="8" t="s">
        <v>178</v>
      </c>
      <c r="Y26" s="8" t="s">
        <v>196</v>
      </c>
      <c r="Z26" s="8" t="s">
        <v>196</v>
      </c>
      <c r="AA26" s="8" t="s">
        <v>196</v>
      </c>
      <c r="AB26" s="8" t="s">
        <v>196</v>
      </c>
      <c r="AC26" s="8">
        <v>21</v>
      </c>
      <c r="AD26" s="8">
        <v>90</v>
      </c>
      <c r="AE26" s="8">
        <v>110</v>
      </c>
      <c r="AF26" s="8">
        <v>24</v>
      </c>
      <c r="AG26" s="8">
        <v>21</v>
      </c>
      <c r="AH26" s="8">
        <v>-65</v>
      </c>
      <c r="AI26" s="8">
        <v>133.4</v>
      </c>
      <c r="AJ26" s="8">
        <v>29.1</v>
      </c>
      <c r="AK26" s="8">
        <v>21</v>
      </c>
      <c r="AL26" s="8" t="s">
        <v>253</v>
      </c>
      <c r="AM26" s="8" t="s">
        <v>216</v>
      </c>
      <c r="AN26" s="8" t="s">
        <v>361</v>
      </c>
      <c r="AO26" s="8">
        <v>-1.2439</v>
      </c>
      <c r="AP26" s="8">
        <v>0.11459999999999999</v>
      </c>
      <c r="AQ26" s="8" t="s">
        <v>362</v>
      </c>
      <c r="AR26">
        <v>0.1047</v>
      </c>
      <c r="AS26">
        <v>0.377</v>
      </c>
      <c r="AT26" t="s">
        <v>385</v>
      </c>
      <c r="AU26" s="8" t="s">
        <v>18</v>
      </c>
      <c r="AV26" s="8" t="s">
        <v>9</v>
      </c>
    </row>
    <row r="27" spans="1:48" ht="22.5" customHeight="1">
      <c r="A27" s="8" t="s">
        <v>150</v>
      </c>
      <c r="B27" t="s">
        <v>386</v>
      </c>
      <c r="C27" s="9" t="s">
        <v>387</v>
      </c>
      <c r="D27" s="9">
        <v>2019</v>
      </c>
      <c r="E27" s="9" t="s">
        <v>388</v>
      </c>
      <c r="F27" s="30" t="s">
        <v>414</v>
      </c>
      <c r="G27" s="8" t="s">
        <v>154</v>
      </c>
      <c r="H27" s="8" t="s">
        <v>155</v>
      </c>
      <c r="I27" s="8" t="s">
        <v>205</v>
      </c>
      <c r="J27" s="8" t="s">
        <v>157</v>
      </c>
      <c r="K27" s="8" t="s">
        <v>158</v>
      </c>
      <c r="L27" s="8" t="s">
        <v>207</v>
      </c>
      <c r="M27" s="8" t="s">
        <v>208</v>
      </c>
      <c r="N27" s="8" t="s">
        <v>389</v>
      </c>
      <c r="O27" s="8" t="s">
        <v>162</v>
      </c>
      <c r="P27" s="8" t="s">
        <v>18</v>
      </c>
      <c r="Q27" s="8" t="s">
        <v>163</v>
      </c>
      <c r="R27" s="8" t="s">
        <v>273</v>
      </c>
      <c r="S27" s="8" t="s">
        <v>390</v>
      </c>
      <c r="T27" s="8" t="s">
        <v>391</v>
      </c>
      <c r="U27" s="8">
        <v>7.9539999999999997</v>
      </c>
      <c r="V27" s="8" t="s">
        <v>392</v>
      </c>
      <c r="W27" s="8" t="s">
        <v>393</v>
      </c>
      <c r="X27" s="8" t="s">
        <v>178</v>
      </c>
      <c r="Y27" s="8" t="s">
        <v>196</v>
      </c>
      <c r="Z27" s="8" t="s">
        <v>196</v>
      </c>
      <c r="AA27" s="8" t="s">
        <v>196</v>
      </c>
      <c r="AB27" s="8" t="s">
        <v>196</v>
      </c>
      <c r="AC27" s="8">
        <v>16</v>
      </c>
      <c r="AD27" s="8"/>
      <c r="AE27" s="8"/>
      <c r="AF27" s="8"/>
      <c r="AG27" s="8"/>
      <c r="AH27" s="8"/>
      <c r="AI27" s="8"/>
      <c r="AJ27" s="8"/>
      <c r="AK27" s="8"/>
      <c r="AL27" s="8" t="s">
        <v>253</v>
      </c>
      <c r="AM27" s="8" t="s">
        <v>302</v>
      </c>
      <c r="AN27" s="8" t="s">
        <v>394</v>
      </c>
      <c r="AO27">
        <v>1.8874</v>
      </c>
      <c r="AP27">
        <v>0.1812</v>
      </c>
      <c r="AQ27" t="s">
        <v>395</v>
      </c>
      <c r="AR27">
        <v>30.672499999999999</v>
      </c>
      <c r="AS27">
        <v>0.59609999999999996</v>
      </c>
      <c r="AT27" t="s">
        <v>396</v>
      </c>
      <c r="AU27" s="8" t="s">
        <v>18</v>
      </c>
      <c r="AV27" s="8" t="s">
        <v>9</v>
      </c>
    </row>
    <row r="28" spans="1:48" ht="22.5" customHeight="1">
      <c r="A28" s="8" t="s">
        <v>150</v>
      </c>
      <c r="B28" t="s">
        <v>397</v>
      </c>
      <c r="C28" s="9" t="s">
        <v>387</v>
      </c>
      <c r="D28" s="9">
        <v>2019</v>
      </c>
      <c r="E28" s="9" t="s">
        <v>388</v>
      </c>
      <c r="F28" s="30" t="s">
        <v>414</v>
      </c>
      <c r="G28" s="8" t="s">
        <v>154</v>
      </c>
      <c r="H28" s="8" t="s">
        <v>176</v>
      </c>
      <c r="I28" s="8" t="s">
        <v>205</v>
      </c>
      <c r="J28" s="8" t="s">
        <v>157</v>
      </c>
      <c r="K28" s="8" t="s">
        <v>158</v>
      </c>
      <c r="L28" s="8" t="s">
        <v>207</v>
      </c>
      <c r="M28" s="8" t="s">
        <v>208</v>
      </c>
      <c r="N28" s="8" t="s">
        <v>389</v>
      </c>
      <c r="O28" s="8" t="s">
        <v>162</v>
      </c>
      <c r="P28" s="8" t="s">
        <v>18</v>
      </c>
      <c r="Q28" s="8" t="s">
        <v>163</v>
      </c>
      <c r="R28" s="8" t="s">
        <v>273</v>
      </c>
      <c r="S28" s="8" t="s">
        <v>398</v>
      </c>
      <c r="T28" s="8" t="s">
        <v>391</v>
      </c>
      <c r="U28" s="8">
        <v>1.5660000000000001</v>
      </c>
      <c r="V28" s="8" t="s">
        <v>399</v>
      </c>
      <c r="W28" s="8" t="s">
        <v>393</v>
      </c>
      <c r="X28" s="8" t="s">
        <v>169</v>
      </c>
      <c r="Y28" s="8" t="s">
        <v>196</v>
      </c>
      <c r="Z28" s="8" t="s">
        <v>196</v>
      </c>
      <c r="AA28" s="8" t="s">
        <v>196</v>
      </c>
      <c r="AB28" s="8" t="s">
        <v>196</v>
      </c>
      <c r="AC28" s="8">
        <v>18</v>
      </c>
      <c r="AD28" s="8"/>
      <c r="AE28" s="8"/>
      <c r="AF28" s="8"/>
      <c r="AG28" s="8"/>
      <c r="AH28" s="8"/>
      <c r="AI28" s="8"/>
      <c r="AJ28" s="8"/>
      <c r="AK28" s="8"/>
      <c r="AL28" s="8" t="s">
        <v>253</v>
      </c>
      <c r="AM28" s="8" t="s">
        <v>302</v>
      </c>
      <c r="AN28" s="8" t="s">
        <v>394</v>
      </c>
      <c r="AO28">
        <v>0.35260000000000002</v>
      </c>
      <c r="AP28">
        <v>5.9200000000000003E-2</v>
      </c>
      <c r="AQ28" t="s">
        <v>400</v>
      </c>
      <c r="AR28">
        <v>1.8956</v>
      </c>
      <c r="AS28">
        <v>0.1948</v>
      </c>
      <c r="AT28" t="s">
        <v>401</v>
      </c>
      <c r="AU28" s="8" t="s">
        <v>18</v>
      </c>
      <c r="AV28" s="8" t="s">
        <v>9</v>
      </c>
    </row>
    <row r="29" spans="1:48" ht="22.5" customHeight="1">
      <c r="A29" s="8" t="s">
        <v>150</v>
      </c>
      <c r="B29" t="s">
        <v>402</v>
      </c>
      <c r="C29" s="9" t="s">
        <v>403</v>
      </c>
      <c r="D29" s="9">
        <v>2024</v>
      </c>
      <c r="E29" s="9" t="s">
        <v>404</v>
      </c>
      <c r="F29" s="30" t="s">
        <v>414</v>
      </c>
      <c r="G29" s="8" t="s">
        <v>154</v>
      </c>
      <c r="H29" s="8" t="s">
        <v>155</v>
      </c>
      <c r="I29" s="8" t="s">
        <v>205</v>
      </c>
      <c r="J29" s="8" t="s">
        <v>157</v>
      </c>
      <c r="K29" s="8" t="s">
        <v>158</v>
      </c>
      <c r="L29" s="8" t="s">
        <v>207</v>
      </c>
      <c r="M29" s="8" t="s">
        <v>208</v>
      </c>
      <c r="N29" s="8" t="s">
        <v>405</v>
      </c>
      <c r="O29" s="8" t="s">
        <v>162</v>
      </c>
      <c r="P29" s="8" t="s">
        <v>18</v>
      </c>
      <c r="Q29" s="8" t="s">
        <v>163</v>
      </c>
      <c r="R29" s="8" t="s">
        <v>193</v>
      </c>
      <c r="S29" s="8" t="s">
        <v>406</v>
      </c>
      <c r="T29" s="8" t="s">
        <v>407</v>
      </c>
      <c r="U29" s="8">
        <v>6.1230000000000002</v>
      </c>
      <c r="V29" s="8" t="s">
        <v>408</v>
      </c>
      <c r="W29" s="8" t="s">
        <v>409</v>
      </c>
      <c r="X29" s="8" t="s">
        <v>178</v>
      </c>
      <c r="Y29" s="8" t="s">
        <v>196</v>
      </c>
      <c r="Z29" s="8" t="s">
        <v>196</v>
      </c>
      <c r="AA29" s="8" t="s">
        <v>196</v>
      </c>
      <c r="AB29" s="8" t="s">
        <v>196</v>
      </c>
      <c r="AC29" s="8">
        <v>18</v>
      </c>
      <c r="AD29" s="8">
        <v>196.78</v>
      </c>
      <c r="AE29" s="8">
        <v>112.9</v>
      </c>
      <c r="AF29" s="8">
        <v>26.6</v>
      </c>
      <c r="AG29" s="8">
        <v>18</v>
      </c>
      <c r="AH29" s="8">
        <v>427.17</v>
      </c>
      <c r="AI29" s="8">
        <v>112.9</v>
      </c>
      <c r="AJ29" s="8">
        <v>26.6</v>
      </c>
      <c r="AK29" s="8">
        <v>18</v>
      </c>
      <c r="AL29" s="8" t="s">
        <v>253</v>
      </c>
      <c r="AM29" s="8" t="s">
        <v>216</v>
      </c>
      <c r="AN29" s="8" t="s">
        <v>410</v>
      </c>
      <c r="AO29" s="8">
        <v>1.9956</v>
      </c>
      <c r="AP29" s="8">
        <v>0.16969999999999999</v>
      </c>
      <c r="AQ29" s="8" t="s">
        <v>411</v>
      </c>
      <c r="AR29">
        <v>37.323300000000003</v>
      </c>
      <c r="AS29">
        <v>0.55830000000000002</v>
      </c>
      <c r="AT29" t="s">
        <v>412</v>
      </c>
      <c r="AU29" s="8" t="s">
        <v>18</v>
      </c>
      <c r="AV29" s="8" t="s">
        <v>9</v>
      </c>
    </row>
    <row r="30" spans="1:48" ht="22.5" customHeight="1">
      <c r="A30" s="8" t="s">
        <v>150</v>
      </c>
      <c r="B30" t="s">
        <v>413</v>
      </c>
      <c r="C30" s="9" t="s">
        <v>403</v>
      </c>
      <c r="D30" s="9">
        <v>2024</v>
      </c>
      <c r="E30" s="9" t="s">
        <v>404</v>
      </c>
      <c r="F30" s="30" t="s">
        <v>414</v>
      </c>
      <c r="G30" s="8" t="s">
        <v>154</v>
      </c>
      <c r="H30" s="8" t="s">
        <v>176</v>
      </c>
      <c r="I30" s="8" t="s">
        <v>205</v>
      </c>
      <c r="J30" s="8" t="s">
        <v>157</v>
      </c>
      <c r="K30" s="8" t="s">
        <v>158</v>
      </c>
      <c r="L30" s="8" t="s">
        <v>207</v>
      </c>
      <c r="M30" s="8" t="s">
        <v>208</v>
      </c>
      <c r="N30" s="8" t="s">
        <v>415</v>
      </c>
      <c r="O30" s="8" t="s">
        <v>162</v>
      </c>
      <c r="P30" s="8" t="s">
        <v>18</v>
      </c>
      <c r="Q30" s="8" t="s">
        <v>163</v>
      </c>
      <c r="R30" s="8" t="s">
        <v>193</v>
      </c>
      <c r="S30" s="8" t="s">
        <v>416</v>
      </c>
      <c r="T30" s="8" t="s">
        <v>407</v>
      </c>
      <c r="U30" s="8">
        <v>6.6180000000000003</v>
      </c>
      <c r="V30" s="8" t="s">
        <v>417</v>
      </c>
      <c r="W30" s="8" t="s">
        <v>418</v>
      </c>
      <c r="X30" s="8" t="s">
        <v>178</v>
      </c>
      <c r="Y30" s="8" t="s">
        <v>196</v>
      </c>
      <c r="Z30" s="8" t="s">
        <v>196</v>
      </c>
      <c r="AA30" s="8" t="s">
        <v>196</v>
      </c>
      <c r="AB30" s="8" t="s">
        <v>196</v>
      </c>
      <c r="AC30" s="8">
        <v>19</v>
      </c>
      <c r="AD30" s="8">
        <v>198.95</v>
      </c>
      <c r="AE30" s="8">
        <v>100.1</v>
      </c>
      <c r="AF30" s="8">
        <v>23</v>
      </c>
      <c r="AG30" s="8">
        <v>19</v>
      </c>
      <c r="AH30" s="8">
        <v>413.9</v>
      </c>
      <c r="AI30" s="8">
        <v>100.1</v>
      </c>
      <c r="AJ30" s="8">
        <v>23</v>
      </c>
      <c r="AK30" s="8">
        <v>19</v>
      </c>
      <c r="AL30" s="8" t="s">
        <v>253</v>
      </c>
      <c r="AM30" s="8" t="s">
        <v>216</v>
      </c>
      <c r="AN30" s="8" t="s">
        <v>419</v>
      </c>
      <c r="AO30" s="8">
        <v>2.1021000000000001</v>
      </c>
      <c r="AP30" s="8">
        <v>0.1666</v>
      </c>
      <c r="AQ30" s="8" t="s">
        <v>420</v>
      </c>
      <c r="AR30">
        <v>45.276499999999999</v>
      </c>
      <c r="AS30">
        <v>0.54810000000000003</v>
      </c>
      <c r="AT30" t="s">
        <v>421</v>
      </c>
      <c r="AU30" s="8" t="s">
        <v>18</v>
      </c>
      <c r="AV30" s="8" t="s">
        <v>9</v>
      </c>
    </row>
    <row r="31" spans="1:48" ht="22.5" customHeight="1">
      <c r="A31" s="8" t="s">
        <v>150</v>
      </c>
      <c r="B31" t="s">
        <v>422</v>
      </c>
      <c r="C31" s="9" t="s">
        <v>403</v>
      </c>
      <c r="D31" s="9">
        <v>2024</v>
      </c>
      <c r="E31" s="9" t="s">
        <v>404</v>
      </c>
      <c r="F31" s="30" t="s">
        <v>414</v>
      </c>
      <c r="G31" s="8" t="s">
        <v>154</v>
      </c>
      <c r="H31" s="8" t="s">
        <v>183</v>
      </c>
      <c r="I31" s="8" t="s">
        <v>205</v>
      </c>
      <c r="J31" s="8" t="s">
        <v>157</v>
      </c>
      <c r="K31" s="8" t="s">
        <v>158</v>
      </c>
      <c r="L31" s="8" t="s">
        <v>207</v>
      </c>
      <c r="M31" s="8" t="s">
        <v>208</v>
      </c>
      <c r="N31" s="8" t="s">
        <v>423</v>
      </c>
      <c r="O31" s="8" t="s">
        <v>162</v>
      </c>
      <c r="P31" s="8" t="s">
        <v>18</v>
      </c>
      <c r="Q31" s="8" t="s">
        <v>163</v>
      </c>
      <c r="R31" s="8" t="s">
        <v>193</v>
      </c>
      <c r="S31" s="8" t="s">
        <v>424</v>
      </c>
      <c r="T31" s="8" t="s">
        <v>407</v>
      </c>
      <c r="U31" s="8">
        <v>3.1E-2</v>
      </c>
      <c r="V31" s="8" t="s">
        <v>425</v>
      </c>
      <c r="W31" s="8" t="s">
        <v>426</v>
      </c>
      <c r="X31" s="8" t="s">
        <v>169</v>
      </c>
      <c r="Y31" s="8" t="s">
        <v>196</v>
      </c>
      <c r="Z31" s="8" t="s">
        <v>196</v>
      </c>
      <c r="AA31" s="8" t="s">
        <v>196</v>
      </c>
      <c r="AB31" s="8" t="s">
        <v>196</v>
      </c>
      <c r="AC31" s="8">
        <v>17</v>
      </c>
      <c r="AD31" s="8">
        <v>268.24</v>
      </c>
      <c r="AE31" s="8">
        <v>77.099999999999994</v>
      </c>
      <c r="AF31" s="8">
        <v>18.7</v>
      </c>
      <c r="AG31" s="8">
        <v>17</v>
      </c>
      <c r="AH31" s="8">
        <v>269.06</v>
      </c>
      <c r="AI31" s="8">
        <v>77.099999999999994</v>
      </c>
      <c r="AJ31" s="8">
        <v>18.7</v>
      </c>
      <c r="AK31" s="8">
        <v>17</v>
      </c>
      <c r="AL31" s="8" t="s">
        <v>253</v>
      </c>
      <c r="AM31" s="8" t="s">
        <v>216</v>
      </c>
      <c r="AN31" s="8" t="s">
        <v>427</v>
      </c>
      <c r="AO31" s="8">
        <v>1.04E-2</v>
      </c>
      <c r="AP31" s="8">
        <v>0.1176</v>
      </c>
      <c r="AQ31" s="8" t="s">
        <v>428</v>
      </c>
      <c r="AR31">
        <v>1.0189999999999999</v>
      </c>
      <c r="AS31">
        <v>0.38690000000000002</v>
      </c>
      <c r="AT31" t="s">
        <v>429</v>
      </c>
      <c r="AU31" s="8" t="s">
        <v>18</v>
      </c>
      <c r="AV31" s="8" t="s">
        <v>9</v>
      </c>
    </row>
    <row r="32" spans="1:48" ht="22.5" customHeight="1">
      <c r="A32" s="8" t="s">
        <v>150</v>
      </c>
      <c r="B32" t="s">
        <v>430</v>
      </c>
      <c r="C32" s="9" t="s">
        <v>403</v>
      </c>
      <c r="D32" s="9">
        <v>2024</v>
      </c>
      <c r="E32" s="9" t="s">
        <v>404</v>
      </c>
      <c r="F32" s="30" t="s">
        <v>414</v>
      </c>
      <c r="G32" s="8" t="s">
        <v>154</v>
      </c>
      <c r="H32" s="8" t="s">
        <v>375</v>
      </c>
      <c r="I32" s="8" t="s">
        <v>156</v>
      </c>
      <c r="J32" s="8" t="s">
        <v>157</v>
      </c>
      <c r="K32" s="8" t="s">
        <v>158</v>
      </c>
      <c r="L32" s="8" t="s">
        <v>207</v>
      </c>
      <c r="M32" s="8" t="s">
        <v>208</v>
      </c>
      <c r="N32" s="8" t="s">
        <v>431</v>
      </c>
      <c r="O32" s="8" t="s">
        <v>162</v>
      </c>
      <c r="P32" s="8" t="s">
        <v>18</v>
      </c>
      <c r="Q32" s="8" t="s">
        <v>163</v>
      </c>
      <c r="R32" s="8" t="s">
        <v>193</v>
      </c>
      <c r="S32" s="8" t="s">
        <v>432</v>
      </c>
      <c r="T32" s="8" t="s">
        <v>433</v>
      </c>
      <c r="U32" s="8">
        <v>4.0030000000000001</v>
      </c>
      <c r="V32" s="8" t="s">
        <v>434</v>
      </c>
      <c r="W32" s="8" t="s">
        <v>435</v>
      </c>
      <c r="X32" s="8" t="s">
        <v>178</v>
      </c>
      <c r="Y32" s="8" t="s">
        <v>196</v>
      </c>
      <c r="Z32" s="8" t="s">
        <v>196</v>
      </c>
      <c r="AA32" s="8" t="s">
        <v>196</v>
      </c>
      <c r="AB32" s="8" t="s">
        <v>196</v>
      </c>
      <c r="AC32" s="8">
        <v>20</v>
      </c>
      <c r="AD32" s="8">
        <v>269.5</v>
      </c>
      <c r="AE32" s="8">
        <v>116.3</v>
      </c>
      <c r="AF32" s="8">
        <v>26</v>
      </c>
      <c r="AG32" s="8">
        <v>20</v>
      </c>
      <c r="AH32" s="8">
        <v>429.5</v>
      </c>
      <c r="AI32" s="8">
        <v>80.5</v>
      </c>
      <c r="AJ32" s="8">
        <v>18</v>
      </c>
      <c r="AK32" s="8">
        <v>20</v>
      </c>
      <c r="AL32" s="8" t="s">
        <v>253</v>
      </c>
      <c r="AM32" s="8" t="s">
        <v>216</v>
      </c>
      <c r="AN32" s="8" t="s">
        <v>436</v>
      </c>
      <c r="AO32" s="8">
        <v>0.85929999999999995</v>
      </c>
      <c r="AP32" s="8">
        <v>6.9400000000000003E-2</v>
      </c>
      <c r="AQ32" s="8" t="s">
        <v>437</v>
      </c>
      <c r="AR32">
        <v>4.7522000000000002</v>
      </c>
      <c r="AS32">
        <v>0.2283</v>
      </c>
      <c r="AT32" t="s">
        <v>438</v>
      </c>
      <c r="AU32" s="8" t="s">
        <v>18</v>
      </c>
      <c r="AV32" s="8" t="s">
        <v>9</v>
      </c>
    </row>
    <row r="33" spans="1:48" ht="22.5" customHeight="1">
      <c r="A33" s="8" t="s">
        <v>150</v>
      </c>
      <c r="B33" t="s">
        <v>439</v>
      </c>
      <c r="C33" s="9" t="s">
        <v>403</v>
      </c>
      <c r="D33" s="9">
        <v>2024</v>
      </c>
      <c r="E33" s="9" t="s">
        <v>404</v>
      </c>
      <c r="F33" s="30" t="s">
        <v>414</v>
      </c>
      <c r="G33" s="8" t="s">
        <v>154</v>
      </c>
      <c r="H33" s="8" t="s">
        <v>381</v>
      </c>
      <c r="I33" s="8" t="s">
        <v>205</v>
      </c>
      <c r="J33" s="8" t="s">
        <v>157</v>
      </c>
      <c r="K33" s="8" t="s">
        <v>158</v>
      </c>
      <c r="L33" s="8" t="s">
        <v>207</v>
      </c>
      <c r="M33" s="8" t="s">
        <v>208</v>
      </c>
      <c r="N33" s="8" t="s">
        <v>440</v>
      </c>
      <c r="O33" s="8" t="s">
        <v>162</v>
      </c>
      <c r="P33" s="8" t="s">
        <v>18</v>
      </c>
      <c r="Q33" s="8" t="s">
        <v>163</v>
      </c>
      <c r="R33" s="8" t="s">
        <v>193</v>
      </c>
      <c r="S33" s="8" t="s">
        <v>441</v>
      </c>
      <c r="T33" s="8" t="s">
        <v>442</v>
      </c>
      <c r="U33" s="8">
        <v>1.208</v>
      </c>
      <c r="V33" s="8" t="s">
        <v>443</v>
      </c>
      <c r="W33" s="8" t="s">
        <v>444</v>
      </c>
      <c r="X33" s="8" t="s">
        <v>169</v>
      </c>
      <c r="Y33" s="8" t="s">
        <v>196</v>
      </c>
      <c r="Z33" s="8" t="s">
        <v>196</v>
      </c>
      <c r="AA33" s="8" t="s">
        <v>196</v>
      </c>
      <c r="AB33" s="8" t="s">
        <v>196</v>
      </c>
      <c r="AC33" s="8">
        <v>20</v>
      </c>
      <c r="AD33" s="8">
        <v>245.2</v>
      </c>
      <c r="AE33" s="8">
        <v>80.599999999999994</v>
      </c>
      <c r="AF33" s="8">
        <v>18</v>
      </c>
      <c r="AG33" s="8">
        <v>20</v>
      </c>
      <c r="AH33" s="8">
        <v>276</v>
      </c>
      <c r="AI33" s="8">
        <v>80.599999999999994</v>
      </c>
      <c r="AJ33" s="8">
        <v>18</v>
      </c>
      <c r="AK33" s="8">
        <v>20</v>
      </c>
      <c r="AL33" s="8" t="s">
        <v>253</v>
      </c>
      <c r="AM33" s="8" t="s">
        <v>216</v>
      </c>
      <c r="AN33" s="8" t="s">
        <v>445</v>
      </c>
      <c r="AO33" s="8">
        <v>0.37440000000000001</v>
      </c>
      <c r="AP33" s="8">
        <v>0.1018</v>
      </c>
      <c r="AQ33" s="8" t="s">
        <v>446</v>
      </c>
      <c r="AR33">
        <v>1.9721</v>
      </c>
      <c r="AS33">
        <v>0.33489999999999998</v>
      </c>
      <c r="AT33" t="s">
        <v>447</v>
      </c>
      <c r="AU33" s="8" t="s">
        <v>18</v>
      </c>
      <c r="AV33" s="8" t="s">
        <v>9</v>
      </c>
    </row>
    <row r="34" spans="1:48" ht="22.5" customHeight="1">
      <c r="A34" s="8" t="s">
        <v>150</v>
      </c>
      <c r="B34" t="s">
        <v>448</v>
      </c>
      <c r="C34" s="9" t="s">
        <v>449</v>
      </c>
      <c r="D34" s="9">
        <v>2019</v>
      </c>
      <c r="E34" s="9" t="s">
        <v>449</v>
      </c>
      <c r="F34" s="31" t="s">
        <v>191</v>
      </c>
      <c r="G34" s="8" t="s">
        <v>154</v>
      </c>
      <c r="H34" s="8" t="s">
        <v>155</v>
      </c>
      <c r="I34" s="8" t="s">
        <v>156</v>
      </c>
      <c r="J34" s="8" t="s">
        <v>157</v>
      </c>
      <c r="K34" s="8" t="s">
        <v>158</v>
      </c>
      <c r="L34" s="8" t="s">
        <v>159</v>
      </c>
      <c r="M34" s="8" t="s">
        <v>160</v>
      </c>
      <c r="N34" s="8" t="s">
        <v>450</v>
      </c>
      <c r="O34" s="8" t="s">
        <v>162</v>
      </c>
      <c r="P34" s="8" t="s">
        <v>18</v>
      </c>
      <c r="Q34" s="8" t="s">
        <v>163</v>
      </c>
      <c r="R34" s="8" t="s">
        <v>211</v>
      </c>
      <c r="S34" s="8" t="s">
        <v>451</v>
      </c>
      <c r="T34" s="8" t="s">
        <v>452</v>
      </c>
      <c r="U34" s="8">
        <v>0.67</v>
      </c>
      <c r="V34" s="8" t="s">
        <v>453</v>
      </c>
      <c r="W34" s="8" t="s">
        <v>454</v>
      </c>
      <c r="X34" s="8" t="s">
        <v>178</v>
      </c>
      <c r="Y34" s="8">
        <v>60</v>
      </c>
      <c r="Z34" s="8">
        <v>30</v>
      </c>
      <c r="AA34" s="8">
        <v>45</v>
      </c>
      <c r="AB34" s="8">
        <v>45</v>
      </c>
      <c r="AC34" s="8">
        <v>90</v>
      </c>
      <c r="AD34" s="8"/>
      <c r="AE34" s="8"/>
      <c r="AF34" s="8"/>
      <c r="AG34" s="8"/>
      <c r="AH34" s="8"/>
      <c r="AI34" s="8"/>
      <c r="AJ34" s="8"/>
      <c r="AK34" s="8"/>
      <c r="AL34" s="8" t="s">
        <v>170</v>
      </c>
      <c r="AM34" s="8" t="s">
        <v>171</v>
      </c>
      <c r="AN34" s="8" t="s">
        <v>455</v>
      </c>
      <c r="AO34">
        <v>0.37890000000000001</v>
      </c>
      <c r="AP34">
        <v>2.8199999999999999E-2</v>
      </c>
      <c r="AQ34" t="s">
        <v>456</v>
      </c>
      <c r="AR34">
        <v>2</v>
      </c>
      <c r="AS34">
        <v>9.4399999999999998E-2</v>
      </c>
      <c r="AT34" t="s">
        <v>457</v>
      </c>
      <c r="AU34" s="8" t="s">
        <v>18</v>
      </c>
      <c r="AV34" s="8" t="s">
        <v>9</v>
      </c>
    </row>
    <row r="35" spans="1:48" ht="22.5" customHeight="1">
      <c r="A35" s="8" t="s">
        <v>150</v>
      </c>
      <c r="B35" t="s">
        <v>458</v>
      </c>
      <c r="C35" s="9" t="s">
        <v>459</v>
      </c>
      <c r="D35" s="9">
        <v>2013</v>
      </c>
      <c r="E35" s="9" t="s">
        <v>459</v>
      </c>
      <c r="F35" s="31" t="s">
        <v>296</v>
      </c>
      <c r="G35" s="8" t="s">
        <v>154</v>
      </c>
      <c r="H35" s="8" t="s">
        <v>155</v>
      </c>
      <c r="I35" s="8" t="s">
        <v>205</v>
      </c>
      <c r="J35" s="8" t="s">
        <v>157</v>
      </c>
      <c r="K35" s="8" t="s">
        <v>206</v>
      </c>
      <c r="L35" s="8" t="s">
        <v>207</v>
      </c>
      <c r="M35" s="8" t="s">
        <v>208</v>
      </c>
      <c r="N35" s="8" t="s">
        <v>460</v>
      </c>
      <c r="O35" s="8" t="s">
        <v>162</v>
      </c>
      <c r="P35" s="8" t="s">
        <v>18</v>
      </c>
      <c r="Q35" s="8" t="s">
        <v>163</v>
      </c>
      <c r="R35" s="8" t="s">
        <v>273</v>
      </c>
      <c r="S35" s="8" t="s">
        <v>461</v>
      </c>
      <c r="T35" s="8" t="s">
        <v>462</v>
      </c>
      <c r="U35" s="8">
        <v>-2.2400000000000002</v>
      </c>
      <c r="V35" s="8" t="s">
        <v>463</v>
      </c>
      <c r="W35" s="8" t="s">
        <v>464</v>
      </c>
      <c r="X35" s="8" t="s">
        <v>178</v>
      </c>
      <c r="Y35" s="8" t="s">
        <v>196</v>
      </c>
      <c r="Z35" s="8" t="s">
        <v>196</v>
      </c>
      <c r="AA35" s="8" t="s">
        <v>196</v>
      </c>
      <c r="AB35" s="8" t="s">
        <v>196</v>
      </c>
      <c r="AC35" s="8">
        <v>48</v>
      </c>
      <c r="AD35" s="8"/>
      <c r="AE35" s="8"/>
      <c r="AF35" s="8"/>
      <c r="AG35" s="8"/>
      <c r="AH35" s="8"/>
      <c r="AI35" s="8"/>
      <c r="AJ35" s="8"/>
      <c r="AK35" s="8"/>
      <c r="AL35" s="8" t="s">
        <v>170</v>
      </c>
      <c r="AM35" s="8" t="s">
        <v>302</v>
      </c>
      <c r="AN35" s="8" t="s">
        <v>465</v>
      </c>
      <c r="AO35">
        <v>-0.63600000000000001</v>
      </c>
      <c r="AP35">
        <v>8.77E-2</v>
      </c>
      <c r="AQ35" t="s">
        <v>466</v>
      </c>
      <c r="AR35">
        <v>0.3155</v>
      </c>
      <c r="AS35">
        <v>0.28849999999999998</v>
      </c>
      <c r="AT35" t="s">
        <v>467</v>
      </c>
      <c r="AU35" s="8" t="s">
        <v>18</v>
      </c>
      <c r="AV35" s="8" t="s">
        <v>9</v>
      </c>
    </row>
    <row r="36" spans="1:48" ht="22.5" customHeight="1">
      <c r="A36" s="8" t="s">
        <v>150</v>
      </c>
      <c r="B36" t="s">
        <v>468</v>
      </c>
      <c r="C36" s="9" t="s">
        <v>469</v>
      </c>
      <c r="D36" s="9">
        <v>2025</v>
      </c>
      <c r="E36" s="9" t="s">
        <v>470</v>
      </c>
      <c r="F36" s="31" t="s">
        <v>191</v>
      </c>
      <c r="G36" s="8" t="s">
        <v>154</v>
      </c>
      <c r="H36" s="8" t="s">
        <v>155</v>
      </c>
      <c r="I36" s="8" t="s">
        <v>156</v>
      </c>
      <c r="J36" s="8" t="s">
        <v>157</v>
      </c>
      <c r="K36" s="8" t="s">
        <v>206</v>
      </c>
      <c r="L36" s="8" t="s">
        <v>159</v>
      </c>
      <c r="M36" s="8" t="s">
        <v>160</v>
      </c>
      <c r="N36" s="8" t="s">
        <v>471</v>
      </c>
      <c r="O36" s="8" t="s">
        <v>162</v>
      </c>
      <c r="P36" s="8" t="s">
        <v>18</v>
      </c>
      <c r="Q36" s="8" t="s">
        <v>163</v>
      </c>
      <c r="R36" s="8" t="s">
        <v>164</v>
      </c>
      <c r="S36" s="8" t="s">
        <v>472</v>
      </c>
      <c r="T36" s="8" t="s">
        <v>473</v>
      </c>
      <c r="U36" s="8" t="s">
        <v>196</v>
      </c>
      <c r="V36" s="8" t="s">
        <v>474</v>
      </c>
      <c r="W36" s="8" t="s">
        <v>475</v>
      </c>
      <c r="X36" s="8" t="s">
        <v>178</v>
      </c>
      <c r="Y36" s="8">
        <v>40</v>
      </c>
      <c r="Z36" s="8">
        <v>21</v>
      </c>
      <c r="AA36" s="8">
        <v>26</v>
      </c>
      <c r="AB36" s="8">
        <v>27</v>
      </c>
      <c r="AC36" s="8">
        <v>114</v>
      </c>
      <c r="AD36" s="8"/>
      <c r="AE36" s="8"/>
      <c r="AF36" s="8"/>
      <c r="AG36" s="8"/>
      <c r="AH36" s="8"/>
      <c r="AI36" s="8"/>
      <c r="AJ36" s="8"/>
      <c r="AK36" s="8"/>
      <c r="AL36" s="8" t="s">
        <v>253</v>
      </c>
      <c r="AM36" s="8" t="s">
        <v>171</v>
      </c>
      <c r="AN36" s="8" t="s">
        <v>476</v>
      </c>
      <c r="AO36" s="8">
        <v>0.37359999999999999</v>
      </c>
      <c r="AP36" s="8">
        <v>4.4400000000000002E-2</v>
      </c>
      <c r="AQ36" s="8" t="s">
        <v>477</v>
      </c>
      <c r="AR36" s="8">
        <v>1.978</v>
      </c>
      <c r="AS36" s="8">
        <v>0.14810000000000001</v>
      </c>
      <c r="AT36" s="8" t="s">
        <v>478</v>
      </c>
      <c r="AU36" s="8" t="s">
        <v>18</v>
      </c>
      <c r="AV36" s="8" t="s">
        <v>9</v>
      </c>
    </row>
    <row r="37" spans="1:48" ht="22.5" customHeight="1">
      <c r="A37" s="8" t="s">
        <v>150</v>
      </c>
      <c r="B37" t="s">
        <v>479</v>
      </c>
      <c r="C37" s="9" t="s">
        <v>469</v>
      </c>
      <c r="D37" s="9">
        <v>2025</v>
      </c>
      <c r="E37" s="9" t="s">
        <v>470</v>
      </c>
      <c r="F37" s="31" t="s">
        <v>191</v>
      </c>
      <c r="G37" s="8" t="s">
        <v>154</v>
      </c>
      <c r="H37" s="8" t="s">
        <v>176</v>
      </c>
      <c r="I37" s="8" t="s">
        <v>156</v>
      </c>
      <c r="J37" s="8" t="s">
        <v>157</v>
      </c>
      <c r="K37" s="8" t="s">
        <v>206</v>
      </c>
      <c r="L37" s="8" t="s">
        <v>159</v>
      </c>
      <c r="M37" s="8" t="s">
        <v>160</v>
      </c>
      <c r="N37" s="8" t="s">
        <v>471</v>
      </c>
      <c r="O37" s="8" t="s">
        <v>162</v>
      </c>
      <c r="P37" s="8" t="s">
        <v>18</v>
      </c>
      <c r="Q37" s="8" t="s">
        <v>163</v>
      </c>
      <c r="R37" s="8" t="s">
        <v>164</v>
      </c>
      <c r="S37" s="8" t="s">
        <v>480</v>
      </c>
      <c r="T37" s="8" t="s">
        <v>473</v>
      </c>
      <c r="U37" s="8" t="s">
        <v>196</v>
      </c>
      <c r="V37" s="8" t="s">
        <v>481</v>
      </c>
      <c r="W37" s="8" t="s">
        <v>482</v>
      </c>
      <c r="X37" s="8" t="s">
        <v>178</v>
      </c>
      <c r="Y37" s="8">
        <v>39</v>
      </c>
      <c r="Z37" s="8">
        <v>25</v>
      </c>
      <c r="AA37" s="8">
        <v>27</v>
      </c>
      <c r="AB37" s="8">
        <v>26</v>
      </c>
      <c r="AC37" s="8">
        <v>117</v>
      </c>
      <c r="AD37" s="8"/>
      <c r="AE37" s="8"/>
      <c r="AF37" s="8"/>
      <c r="AG37" s="8"/>
      <c r="AH37" s="8"/>
      <c r="AI37" s="8"/>
      <c r="AJ37" s="8"/>
      <c r="AK37" s="8"/>
      <c r="AL37" s="8" t="s">
        <v>253</v>
      </c>
      <c r="AM37" s="8" t="s">
        <v>171</v>
      </c>
      <c r="AN37" s="8" t="s">
        <v>483</v>
      </c>
      <c r="AO37" s="8">
        <v>0.22289999999999999</v>
      </c>
      <c r="AP37" s="8">
        <v>4.2299999999999997E-2</v>
      </c>
      <c r="AQ37" s="8" t="s">
        <v>484</v>
      </c>
      <c r="AR37" s="8">
        <v>1.5022</v>
      </c>
      <c r="AS37" s="8">
        <v>0.1411</v>
      </c>
      <c r="AT37" s="8" t="s">
        <v>485</v>
      </c>
      <c r="AU37" s="8" t="s">
        <v>18</v>
      </c>
      <c r="AV37" s="8" t="s">
        <v>9</v>
      </c>
    </row>
    <row r="38" spans="1:48" ht="22.5" customHeight="1">
      <c r="A38" s="8" t="s">
        <v>150</v>
      </c>
      <c r="B38" t="s">
        <v>486</v>
      </c>
      <c r="C38" s="9" t="s">
        <v>469</v>
      </c>
      <c r="D38" s="9">
        <v>2025</v>
      </c>
      <c r="E38" s="9" t="s">
        <v>470</v>
      </c>
      <c r="F38" s="31" t="s">
        <v>191</v>
      </c>
      <c r="G38" s="8" t="s">
        <v>154</v>
      </c>
      <c r="H38" s="8" t="s">
        <v>183</v>
      </c>
      <c r="I38" s="8" t="s">
        <v>156</v>
      </c>
      <c r="J38" s="8" t="s">
        <v>157</v>
      </c>
      <c r="K38" s="8" t="s">
        <v>206</v>
      </c>
      <c r="L38" s="8" t="s">
        <v>307</v>
      </c>
      <c r="M38" s="8" t="s">
        <v>160</v>
      </c>
      <c r="N38" s="8" t="s">
        <v>487</v>
      </c>
      <c r="O38" s="8" t="s">
        <v>162</v>
      </c>
      <c r="P38" s="8" t="s">
        <v>18</v>
      </c>
      <c r="Q38" s="8" t="s">
        <v>163</v>
      </c>
      <c r="R38" s="8" t="s">
        <v>164</v>
      </c>
      <c r="S38" s="8" t="s">
        <v>488</v>
      </c>
      <c r="T38" s="8" t="s">
        <v>473</v>
      </c>
      <c r="U38" s="8" t="s">
        <v>196</v>
      </c>
      <c r="V38" s="8" t="s">
        <v>489</v>
      </c>
      <c r="W38" s="8" t="s">
        <v>490</v>
      </c>
      <c r="X38" s="8" t="s">
        <v>178</v>
      </c>
      <c r="Y38" s="8">
        <v>27</v>
      </c>
      <c r="Z38" s="8">
        <v>17</v>
      </c>
      <c r="AA38" s="8">
        <v>20</v>
      </c>
      <c r="AB38" s="8">
        <v>21</v>
      </c>
      <c r="AC38" s="8">
        <v>85</v>
      </c>
      <c r="AD38" s="8"/>
      <c r="AE38" s="8"/>
      <c r="AF38" s="8"/>
      <c r="AG38" s="8"/>
      <c r="AH38" s="8"/>
      <c r="AI38" s="8"/>
      <c r="AJ38" s="8"/>
      <c r="AK38" s="8"/>
      <c r="AL38" s="8" t="s">
        <v>253</v>
      </c>
      <c r="AM38" s="8" t="s">
        <v>171</v>
      </c>
      <c r="AN38" s="8" t="s">
        <v>491</v>
      </c>
      <c r="AO38" s="8">
        <v>0.27939999999999998</v>
      </c>
      <c r="AP38" s="8">
        <v>5.7799999999999997E-2</v>
      </c>
      <c r="AQ38" s="8" t="s">
        <v>492</v>
      </c>
      <c r="AR38" s="8">
        <v>1.6676</v>
      </c>
      <c r="AS38" s="8">
        <v>0.19350000000000001</v>
      </c>
      <c r="AT38" s="8" t="s">
        <v>493</v>
      </c>
      <c r="AU38" s="8" t="s">
        <v>18</v>
      </c>
      <c r="AV38" s="8" t="s">
        <v>9</v>
      </c>
    </row>
    <row r="39" spans="1:48" ht="22.5" customHeight="1">
      <c r="A39" s="8" t="s">
        <v>150</v>
      </c>
      <c r="B39" t="s">
        <v>494</v>
      </c>
      <c r="C39" s="9" t="s">
        <v>469</v>
      </c>
      <c r="D39" s="9">
        <v>2025</v>
      </c>
      <c r="E39" s="9" t="s">
        <v>470</v>
      </c>
      <c r="F39" s="31" t="s">
        <v>191</v>
      </c>
      <c r="G39" s="8" t="s">
        <v>154</v>
      </c>
      <c r="H39" s="8" t="s">
        <v>375</v>
      </c>
      <c r="I39" s="8" t="s">
        <v>156</v>
      </c>
      <c r="J39" s="8" t="s">
        <v>157</v>
      </c>
      <c r="K39" s="8" t="s">
        <v>206</v>
      </c>
      <c r="L39" s="8" t="s">
        <v>307</v>
      </c>
      <c r="M39" s="8" t="s">
        <v>160</v>
      </c>
      <c r="N39" s="8" t="s">
        <v>487</v>
      </c>
      <c r="O39" s="8" t="s">
        <v>162</v>
      </c>
      <c r="P39" s="8" t="s">
        <v>18</v>
      </c>
      <c r="Q39" s="8" t="s">
        <v>163</v>
      </c>
      <c r="R39" s="8" t="s">
        <v>164</v>
      </c>
      <c r="S39" s="8" t="s">
        <v>495</v>
      </c>
      <c r="T39" s="8" t="s">
        <v>473</v>
      </c>
      <c r="U39" s="8" t="s">
        <v>196</v>
      </c>
      <c r="V39" s="8" t="s">
        <v>496</v>
      </c>
      <c r="W39" s="8" t="s">
        <v>497</v>
      </c>
      <c r="X39" s="8" t="s">
        <v>178</v>
      </c>
      <c r="Y39" s="8">
        <v>32</v>
      </c>
      <c r="Z39" s="8">
        <v>19</v>
      </c>
      <c r="AA39" s="8">
        <v>33</v>
      </c>
      <c r="AB39" s="8">
        <v>33</v>
      </c>
      <c r="AC39" s="8">
        <v>117</v>
      </c>
      <c r="AD39" s="8"/>
      <c r="AE39" s="8"/>
      <c r="AF39" s="8"/>
      <c r="AG39" s="8"/>
      <c r="AH39" s="8"/>
      <c r="AI39" s="8"/>
      <c r="AJ39" s="8"/>
      <c r="AK39" s="8"/>
      <c r="AL39" s="8" t="s">
        <v>253</v>
      </c>
      <c r="AM39" s="8" t="s">
        <v>171</v>
      </c>
      <c r="AN39" s="8" t="s">
        <v>498</v>
      </c>
      <c r="AO39" s="8">
        <v>0.28549999999999998</v>
      </c>
      <c r="AP39" s="8">
        <v>4.3400000000000001E-2</v>
      </c>
      <c r="AQ39" s="8" t="s">
        <v>499</v>
      </c>
      <c r="AR39" s="8">
        <v>1.6841999999999999</v>
      </c>
      <c r="AS39" s="8">
        <v>0.14449999999999999</v>
      </c>
      <c r="AT39" s="8" t="s">
        <v>500</v>
      </c>
      <c r="AU39" s="8" t="s">
        <v>18</v>
      </c>
      <c r="AV39" s="8" t="s">
        <v>9</v>
      </c>
    </row>
    <row r="40" spans="1:48" ht="22.5" customHeight="1">
      <c r="A40" s="8" t="s">
        <v>150</v>
      </c>
      <c r="B40" t="s">
        <v>501</v>
      </c>
      <c r="C40" s="9" t="s">
        <v>469</v>
      </c>
      <c r="D40" s="9">
        <v>2025</v>
      </c>
      <c r="E40" s="9" t="s">
        <v>470</v>
      </c>
      <c r="F40" s="31" t="s">
        <v>191</v>
      </c>
      <c r="G40" s="8" t="s">
        <v>154</v>
      </c>
      <c r="H40" s="8" t="s">
        <v>381</v>
      </c>
      <c r="I40" s="8" t="s">
        <v>156</v>
      </c>
      <c r="J40" s="8" t="s">
        <v>157</v>
      </c>
      <c r="K40" s="8" t="s">
        <v>206</v>
      </c>
      <c r="L40" s="8" t="s">
        <v>159</v>
      </c>
      <c r="M40" s="8" t="s">
        <v>160</v>
      </c>
      <c r="N40" s="8" t="s">
        <v>502</v>
      </c>
      <c r="O40" s="8" t="s">
        <v>162</v>
      </c>
      <c r="P40" s="8" t="s">
        <v>18</v>
      </c>
      <c r="Q40" s="8" t="s">
        <v>163</v>
      </c>
      <c r="R40" s="8" t="s">
        <v>164</v>
      </c>
      <c r="S40" s="8" t="s">
        <v>503</v>
      </c>
      <c r="T40" s="8" t="s">
        <v>504</v>
      </c>
      <c r="U40" s="8" t="s">
        <v>196</v>
      </c>
      <c r="V40" s="8" t="s">
        <v>505</v>
      </c>
      <c r="W40" s="8" t="s">
        <v>506</v>
      </c>
      <c r="X40" s="8" t="s">
        <v>169</v>
      </c>
      <c r="Y40" s="8">
        <v>21</v>
      </c>
      <c r="Z40" s="8">
        <v>22</v>
      </c>
      <c r="AA40" s="8">
        <v>21.5</v>
      </c>
      <c r="AB40" s="8">
        <v>21.5</v>
      </c>
      <c r="AC40" s="8">
        <v>43</v>
      </c>
      <c r="AD40" s="8"/>
      <c r="AE40" s="8"/>
      <c r="AF40" s="8"/>
      <c r="AG40" s="8"/>
      <c r="AH40" s="8"/>
      <c r="AI40" s="8"/>
      <c r="AJ40" s="8"/>
      <c r="AK40" s="8"/>
      <c r="AL40" s="8" t="s">
        <v>253</v>
      </c>
      <c r="AM40" s="8" t="s">
        <v>171</v>
      </c>
      <c r="AN40" s="8" t="s">
        <v>507</v>
      </c>
      <c r="AO40" s="8">
        <v>-2.52E-2</v>
      </c>
      <c r="AP40" s="8">
        <v>5.4600000000000003E-2</v>
      </c>
      <c r="AQ40" s="8" t="s">
        <v>508</v>
      </c>
      <c r="AR40" s="8">
        <v>0.95450000000000002</v>
      </c>
      <c r="AS40" s="8">
        <v>0.18609999999999999</v>
      </c>
      <c r="AT40" s="8" t="s">
        <v>509</v>
      </c>
      <c r="AU40" s="8" t="s">
        <v>18</v>
      </c>
      <c r="AV40" s="8" t="s">
        <v>9</v>
      </c>
    </row>
    <row r="41" spans="1:48" ht="22.5" customHeight="1">
      <c r="A41" s="8" t="s">
        <v>150</v>
      </c>
      <c r="B41" t="s">
        <v>510</v>
      </c>
      <c r="C41" s="9" t="s">
        <v>511</v>
      </c>
      <c r="D41" s="9">
        <v>2013</v>
      </c>
      <c r="E41" s="9" t="s">
        <v>512</v>
      </c>
      <c r="F41" s="30" t="s">
        <v>513</v>
      </c>
      <c r="G41" s="8" t="s">
        <v>154</v>
      </c>
      <c r="H41" s="8" t="s">
        <v>155</v>
      </c>
      <c r="I41" s="8" t="s">
        <v>205</v>
      </c>
      <c r="J41" s="8" t="s">
        <v>157</v>
      </c>
      <c r="K41" s="8" t="s">
        <v>206</v>
      </c>
      <c r="L41" s="8" t="s">
        <v>207</v>
      </c>
      <c r="M41" s="8" t="s">
        <v>208</v>
      </c>
      <c r="N41" s="8" t="s">
        <v>514</v>
      </c>
      <c r="O41" s="8" t="s">
        <v>162</v>
      </c>
      <c r="P41" s="8" t="s">
        <v>9</v>
      </c>
      <c r="Q41" s="8" t="s">
        <v>163</v>
      </c>
      <c r="R41" s="8" t="s">
        <v>273</v>
      </c>
      <c r="S41" s="8" t="s">
        <v>515</v>
      </c>
      <c r="T41" s="8" t="s">
        <v>516</v>
      </c>
      <c r="U41" s="8">
        <v>10.039999999999999</v>
      </c>
      <c r="V41" s="8" t="s">
        <v>517</v>
      </c>
      <c r="W41" s="8" t="s">
        <v>518</v>
      </c>
      <c r="X41" s="8" t="s">
        <v>178</v>
      </c>
      <c r="Y41" s="8">
        <v>10</v>
      </c>
      <c r="Z41" s="8">
        <v>5</v>
      </c>
      <c r="AA41" s="8">
        <v>7.5</v>
      </c>
      <c r="AB41" s="8">
        <v>7.5</v>
      </c>
      <c r="AC41" s="8">
        <v>30</v>
      </c>
      <c r="AD41" s="8"/>
      <c r="AE41" s="8"/>
      <c r="AF41" s="8"/>
      <c r="AG41" s="8"/>
      <c r="AH41" s="8"/>
      <c r="AI41" s="8"/>
      <c r="AJ41" s="8"/>
      <c r="AK41" s="8"/>
      <c r="AL41" s="8" t="s">
        <v>170</v>
      </c>
      <c r="AM41" s="8" t="s">
        <v>171</v>
      </c>
      <c r="AO41">
        <v>0.37219999999999998</v>
      </c>
      <c r="AP41">
        <v>0.16339999999999999</v>
      </c>
      <c r="AQ41" t="s">
        <v>519</v>
      </c>
      <c r="AR41">
        <v>2</v>
      </c>
      <c r="AS41">
        <v>0.56669999999999998</v>
      </c>
      <c r="AT41" t="s">
        <v>520</v>
      </c>
      <c r="AU41" s="8" t="s">
        <v>18</v>
      </c>
      <c r="AV41" s="8" t="s">
        <v>9</v>
      </c>
    </row>
    <row r="42" spans="1:48" ht="21.75" customHeight="1">
      <c r="A42" s="8" t="s">
        <v>150</v>
      </c>
      <c r="B42" t="s">
        <v>521</v>
      </c>
      <c r="C42" s="9" t="s">
        <v>511</v>
      </c>
      <c r="D42" s="9">
        <v>2013</v>
      </c>
      <c r="E42" s="9" t="s">
        <v>512</v>
      </c>
      <c r="F42" s="30" t="s">
        <v>513</v>
      </c>
      <c r="G42" s="8" t="s">
        <v>154</v>
      </c>
      <c r="H42" s="8" t="s">
        <v>176</v>
      </c>
      <c r="I42" s="8" t="s">
        <v>205</v>
      </c>
      <c r="J42" s="8" t="s">
        <v>157</v>
      </c>
      <c r="K42" s="8" t="s">
        <v>206</v>
      </c>
      <c r="L42" s="8" t="s">
        <v>207</v>
      </c>
      <c r="M42" s="8" t="s">
        <v>208</v>
      </c>
      <c r="N42" s="8" t="s">
        <v>514</v>
      </c>
      <c r="O42" s="8" t="s">
        <v>210</v>
      </c>
      <c r="P42" s="8" t="s">
        <v>9</v>
      </c>
      <c r="Q42" s="8" t="s">
        <v>163</v>
      </c>
      <c r="R42" s="8" t="s">
        <v>273</v>
      </c>
      <c r="S42" s="8" t="s">
        <v>522</v>
      </c>
      <c r="T42" s="8" t="s">
        <v>516</v>
      </c>
      <c r="U42" s="8">
        <v>6.9050000000000002</v>
      </c>
      <c r="V42" s="8" t="s">
        <v>523</v>
      </c>
      <c r="W42" s="8" t="s">
        <v>524</v>
      </c>
      <c r="X42" s="8" t="s">
        <v>178</v>
      </c>
      <c r="Y42" s="8">
        <v>10</v>
      </c>
      <c r="Z42" s="8">
        <v>5</v>
      </c>
      <c r="AA42" s="8">
        <v>7.5</v>
      </c>
      <c r="AB42" s="8">
        <v>7.5</v>
      </c>
      <c r="AC42" s="8">
        <v>30</v>
      </c>
      <c r="AD42" s="8"/>
      <c r="AE42" s="8"/>
      <c r="AF42" s="8"/>
      <c r="AG42" s="8"/>
      <c r="AH42" s="8"/>
      <c r="AI42" s="8"/>
      <c r="AJ42" s="8"/>
      <c r="AK42" s="8"/>
      <c r="AL42" s="8" t="s">
        <v>170</v>
      </c>
      <c r="AM42" s="8" t="s">
        <v>171</v>
      </c>
      <c r="AO42">
        <v>0.37219999999999998</v>
      </c>
      <c r="AP42">
        <v>0.16339999999999999</v>
      </c>
      <c r="AQ42" t="s">
        <v>519</v>
      </c>
      <c r="AR42">
        <v>2</v>
      </c>
      <c r="AS42">
        <v>0.56669999999999998</v>
      </c>
      <c r="AT42" t="s">
        <v>520</v>
      </c>
      <c r="AU42" s="8" t="s">
        <v>18</v>
      </c>
      <c r="AV42" s="8" t="s">
        <v>9</v>
      </c>
    </row>
    <row r="43" spans="1:48" ht="22.5" customHeight="1">
      <c r="A43" s="8" t="s">
        <v>150</v>
      </c>
      <c r="B43" t="s">
        <v>525</v>
      </c>
      <c r="C43" s="9" t="s">
        <v>511</v>
      </c>
      <c r="D43" s="9">
        <v>2013</v>
      </c>
      <c r="E43" s="9" t="s">
        <v>512</v>
      </c>
      <c r="F43" s="30" t="s">
        <v>526</v>
      </c>
      <c r="G43" s="8" t="s">
        <v>154</v>
      </c>
      <c r="H43" s="8" t="s">
        <v>183</v>
      </c>
      <c r="I43" s="8" t="s">
        <v>205</v>
      </c>
      <c r="J43" s="8" t="s">
        <v>157</v>
      </c>
      <c r="K43" s="8" t="s">
        <v>206</v>
      </c>
      <c r="L43" s="8" t="s">
        <v>207</v>
      </c>
      <c r="M43" s="8" t="s">
        <v>208</v>
      </c>
      <c r="N43" s="8" t="s">
        <v>514</v>
      </c>
      <c r="O43" s="8" t="s">
        <v>162</v>
      </c>
      <c r="P43" s="8" t="s">
        <v>9</v>
      </c>
      <c r="Q43" s="8" t="s">
        <v>163</v>
      </c>
      <c r="R43" s="8" t="s">
        <v>273</v>
      </c>
      <c r="S43" s="8" t="s">
        <v>527</v>
      </c>
      <c r="T43" s="8" t="s">
        <v>516</v>
      </c>
      <c r="U43" s="8">
        <v>0.1845</v>
      </c>
      <c r="V43" s="8" t="s">
        <v>528</v>
      </c>
      <c r="W43" s="8" t="s">
        <v>529</v>
      </c>
      <c r="X43" s="8" t="s">
        <v>169</v>
      </c>
      <c r="Y43" s="8">
        <v>7</v>
      </c>
      <c r="Z43" s="8">
        <v>8</v>
      </c>
      <c r="AA43" s="8">
        <v>7.5</v>
      </c>
      <c r="AB43" s="8">
        <v>7.5</v>
      </c>
      <c r="AC43" s="8">
        <v>30</v>
      </c>
      <c r="AD43" s="8"/>
      <c r="AE43" s="8"/>
      <c r="AF43" s="8"/>
      <c r="AG43" s="8"/>
      <c r="AH43" s="8"/>
      <c r="AI43" s="8"/>
      <c r="AJ43" s="8"/>
      <c r="AK43" s="8"/>
      <c r="AL43" s="8" t="s">
        <v>170</v>
      </c>
      <c r="AM43" s="8" t="s">
        <v>171</v>
      </c>
      <c r="AO43">
        <v>-7.17E-2</v>
      </c>
      <c r="AP43">
        <v>0.15409999999999999</v>
      </c>
      <c r="AQ43" t="s">
        <v>530</v>
      </c>
      <c r="AR43">
        <v>0.875</v>
      </c>
      <c r="AS43">
        <v>0.53449999999999998</v>
      </c>
      <c r="AT43" t="s">
        <v>531</v>
      </c>
      <c r="AU43" s="8" t="s">
        <v>18</v>
      </c>
      <c r="AV43" s="8" t="s">
        <v>9</v>
      </c>
    </row>
    <row r="44" spans="1:48" ht="21.75" customHeight="1">
      <c r="A44" s="8" t="s">
        <v>150</v>
      </c>
      <c r="B44" t="s">
        <v>532</v>
      </c>
      <c r="C44" s="9" t="s">
        <v>511</v>
      </c>
      <c r="D44" s="9">
        <v>2013</v>
      </c>
      <c r="E44" s="9" t="s">
        <v>512</v>
      </c>
      <c r="F44" s="30" t="s">
        <v>526</v>
      </c>
      <c r="G44" s="8" t="s">
        <v>154</v>
      </c>
      <c r="H44" s="8" t="s">
        <v>375</v>
      </c>
      <c r="I44" s="8" t="s">
        <v>205</v>
      </c>
      <c r="J44" s="8" t="s">
        <v>157</v>
      </c>
      <c r="K44" s="8" t="s">
        <v>206</v>
      </c>
      <c r="L44" s="8" t="s">
        <v>207</v>
      </c>
      <c r="M44" s="8" t="s">
        <v>208</v>
      </c>
      <c r="N44" s="8" t="s">
        <v>514</v>
      </c>
      <c r="O44" s="8" t="s">
        <v>210</v>
      </c>
      <c r="P44" s="8" t="s">
        <v>9</v>
      </c>
      <c r="Q44" s="8" t="s">
        <v>163</v>
      </c>
      <c r="R44" s="8" t="s">
        <v>273</v>
      </c>
      <c r="S44" s="8" t="s">
        <v>533</v>
      </c>
      <c r="T44" s="8" t="s">
        <v>516</v>
      </c>
      <c r="U44" s="8">
        <v>6.59</v>
      </c>
      <c r="V44" s="8" t="s">
        <v>534</v>
      </c>
      <c r="W44" s="8" t="s">
        <v>535</v>
      </c>
      <c r="X44" s="8" t="s">
        <v>178</v>
      </c>
      <c r="Y44" s="8">
        <v>13</v>
      </c>
      <c r="Z44" s="8">
        <v>2</v>
      </c>
      <c r="AA44" s="8">
        <v>7.5</v>
      </c>
      <c r="AB44" s="8">
        <v>7.5</v>
      </c>
      <c r="AC44" s="8">
        <v>30</v>
      </c>
      <c r="AD44" s="8"/>
      <c r="AE44" s="8"/>
      <c r="AF44" s="8"/>
      <c r="AG44" s="8"/>
      <c r="AH44" s="8"/>
      <c r="AI44" s="8"/>
      <c r="AJ44" s="8"/>
      <c r="AK44" s="8"/>
      <c r="AL44" s="8" t="s">
        <v>170</v>
      </c>
      <c r="AM44" s="8" t="s">
        <v>171</v>
      </c>
      <c r="AO44">
        <v>1.0051000000000001</v>
      </c>
      <c r="AP44">
        <v>0.2432</v>
      </c>
      <c r="AQ44" t="s">
        <v>536</v>
      </c>
      <c r="AR44">
        <v>6.5</v>
      </c>
      <c r="AS44">
        <v>0.84360000000000002</v>
      </c>
      <c r="AT44" t="s">
        <v>537</v>
      </c>
      <c r="AU44" s="8" t="s">
        <v>18</v>
      </c>
      <c r="AV44" s="8" t="s">
        <v>9</v>
      </c>
    </row>
    <row r="45" spans="1:48" ht="22.5" customHeight="1">
      <c r="A45" s="8" t="s">
        <v>150</v>
      </c>
      <c r="B45" t="s">
        <v>538</v>
      </c>
      <c r="C45" s="9" t="s">
        <v>539</v>
      </c>
      <c r="D45" s="9">
        <v>2022</v>
      </c>
      <c r="E45" s="9" t="s">
        <v>540</v>
      </c>
      <c r="F45" s="31" t="s">
        <v>191</v>
      </c>
      <c r="G45" s="8" t="s">
        <v>154</v>
      </c>
      <c r="H45" s="8" t="s">
        <v>155</v>
      </c>
      <c r="I45" s="8" t="s">
        <v>156</v>
      </c>
      <c r="J45" s="8" t="s">
        <v>157</v>
      </c>
      <c r="K45" s="8" t="s">
        <v>158</v>
      </c>
      <c r="L45" s="8" t="s">
        <v>159</v>
      </c>
      <c r="M45" s="8" t="s">
        <v>160</v>
      </c>
      <c r="N45" s="8" t="s">
        <v>541</v>
      </c>
      <c r="O45" s="8" t="s">
        <v>162</v>
      </c>
      <c r="P45" s="8" t="s">
        <v>18</v>
      </c>
      <c r="Q45" s="8" t="s">
        <v>163</v>
      </c>
      <c r="R45" s="8" t="s">
        <v>164</v>
      </c>
      <c r="S45" s="8" t="s">
        <v>542</v>
      </c>
      <c r="T45" s="8" t="s">
        <v>543</v>
      </c>
      <c r="U45" s="8">
        <v>0.68</v>
      </c>
      <c r="V45" s="8" t="s">
        <v>544</v>
      </c>
      <c r="W45" s="8" t="s">
        <v>545</v>
      </c>
      <c r="X45" s="8" t="s">
        <v>178</v>
      </c>
      <c r="Y45" s="8">
        <v>44</v>
      </c>
      <c r="Z45" s="8">
        <v>21</v>
      </c>
      <c r="AA45" s="8">
        <v>32.5</v>
      </c>
      <c r="AB45" s="8">
        <v>32.5</v>
      </c>
      <c r="AC45" s="8">
        <v>65</v>
      </c>
      <c r="AD45" s="8"/>
      <c r="AE45" s="8"/>
      <c r="AF45" s="8"/>
      <c r="AG45" s="8"/>
      <c r="AH45" s="8"/>
      <c r="AI45" s="8"/>
      <c r="AJ45" s="8"/>
      <c r="AK45" s="8"/>
      <c r="AL45" s="8" t="s">
        <v>170</v>
      </c>
      <c r="AM45" s="8" t="s">
        <v>171</v>
      </c>
      <c r="AN45" s="8" t="s">
        <v>546</v>
      </c>
      <c r="AO45">
        <v>0.40300000000000002</v>
      </c>
      <c r="AP45">
        <v>3.9199999999999999E-2</v>
      </c>
      <c r="AQ45" t="s">
        <v>547</v>
      </c>
      <c r="AR45">
        <v>2.0952000000000002</v>
      </c>
      <c r="AS45">
        <v>0.13189999999999999</v>
      </c>
      <c r="AT45" t="s">
        <v>548</v>
      </c>
      <c r="AU45" s="8" t="s">
        <v>18</v>
      </c>
      <c r="AV45" s="8" t="s">
        <v>9</v>
      </c>
    </row>
    <row r="46" spans="1:48" ht="22.5" customHeight="1">
      <c r="A46" s="8" t="s">
        <v>150</v>
      </c>
      <c r="B46" t="s">
        <v>549</v>
      </c>
      <c r="C46" s="9" t="s">
        <v>539</v>
      </c>
      <c r="D46" s="9">
        <v>2022</v>
      </c>
      <c r="E46" s="9" t="s">
        <v>540</v>
      </c>
      <c r="F46" s="31" t="s">
        <v>191</v>
      </c>
      <c r="G46" s="8" t="s">
        <v>154</v>
      </c>
      <c r="H46" s="8" t="s">
        <v>176</v>
      </c>
      <c r="I46" s="8" t="s">
        <v>156</v>
      </c>
      <c r="J46" s="8" t="s">
        <v>157</v>
      </c>
      <c r="K46" s="8" t="s">
        <v>158</v>
      </c>
      <c r="L46" s="8" t="s">
        <v>159</v>
      </c>
      <c r="M46" s="8" t="s">
        <v>160</v>
      </c>
      <c r="N46" s="8" t="s">
        <v>550</v>
      </c>
      <c r="O46" s="8" t="s">
        <v>162</v>
      </c>
      <c r="P46" s="8" t="s">
        <v>18</v>
      </c>
      <c r="Q46" s="8" t="s">
        <v>163</v>
      </c>
      <c r="R46" s="8" t="s">
        <v>164</v>
      </c>
      <c r="S46" s="8" t="s">
        <v>551</v>
      </c>
      <c r="T46" s="8" t="s">
        <v>543</v>
      </c>
      <c r="U46" s="8">
        <v>0.43</v>
      </c>
      <c r="V46" s="8" t="s">
        <v>552</v>
      </c>
      <c r="W46" s="8" t="s">
        <v>553</v>
      </c>
      <c r="X46" s="8" t="s">
        <v>169</v>
      </c>
      <c r="Y46" s="8">
        <v>28</v>
      </c>
      <c r="Z46" s="8">
        <v>38</v>
      </c>
      <c r="AA46" s="8">
        <v>33</v>
      </c>
      <c r="AB46" s="8">
        <v>33</v>
      </c>
      <c r="AC46" s="8">
        <v>66</v>
      </c>
      <c r="AD46" s="8"/>
      <c r="AE46" s="8"/>
      <c r="AF46" s="8"/>
      <c r="AG46" s="8"/>
      <c r="AH46" s="8"/>
      <c r="AI46" s="8"/>
      <c r="AJ46" s="8"/>
      <c r="AK46" s="8"/>
      <c r="AL46" s="8" t="s">
        <v>170</v>
      </c>
      <c r="AM46" s="8" t="s">
        <v>171</v>
      </c>
      <c r="AN46" s="8" t="s">
        <v>554</v>
      </c>
      <c r="AO46">
        <v>-0.16639999999999999</v>
      </c>
      <c r="AP46">
        <v>3.6400000000000002E-2</v>
      </c>
      <c r="AQ46" t="s">
        <v>555</v>
      </c>
      <c r="AR46">
        <v>0.73680000000000001</v>
      </c>
      <c r="AS46">
        <v>0.1226</v>
      </c>
      <c r="AT46" t="s">
        <v>556</v>
      </c>
      <c r="AU46" s="8" t="s">
        <v>18</v>
      </c>
      <c r="AV46" s="8" t="s">
        <v>9</v>
      </c>
    </row>
    <row r="47" spans="1:48" ht="22.5" customHeight="1">
      <c r="A47" s="8" t="s">
        <v>150</v>
      </c>
      <c r="B47" t="s">
        <v>557</v>
      </c>
      <c r="C47" s="9" t="s">
        <v>539</v>
      </c>
      <c r="D47" s="9">
        <v>2022</v>
      </c>
      <c r="E47" s="9" t="s">
        <v>540</v>
      </c>
      <c r="F47" s="31" t="s">
        <v>191</v>
      </c>
      <c r="G47" s="8" t="s">
        <v>154</v>
      </c>
      <c r="H47" s="8" t="s">
        <v>183</v>
      </c>
      <c r="I47" s="8" t="s">
        <v>156</v>
      </c>
      <c r="J47" s="8" t="s">
        <v>157</v>
      </c>
      <c r="K47" s="8" t="s">
        <v>158</v>
      </c>
      <c r="L47" s="8" t="s">
        <v>159</v>
      </c>
      <c r="M47" s="8" t="s">
        <v>160</v>
      </c>
      <c r="N47" s="8" t="s">
        <v>558</v>
      </c>
      <c r="O47" s="8" t="s">
        <v>162</v>
      </c>
      <c r="P47" s="8" t="s">
        <v>18</v>
      </c>
      <c r="Q47" s="8" t="s">
        <v>163</v>
      </c>
      <c r="R47" s="8" t="s">
        <v>164</v>
      </c>
      <c r="S47" s="8" t="s">
        <v>559</v>
      </c>
      <c r="T47" s="8" t="s">
        <v>543</v>
      </c>
      <c r="U47" s="8">
        <v>0.76</v>
      </c>
      <c r="V47" s="8" t="s">
        <v>560</v>
      </c>
      <c r="W47" s="8" t="s">
        <v>561</v>
      </c>
      <c r="X47" s="8" t="s">
        <v>178</v>
      </c>
      <c r="Y47" s="8">
        <v>49</v>
      </c>
      <c r="Z47" s="8">
        <v>16</v>
      </c>
      <c r="AA47" s="8">
        <v>32.5</v>
      </c>
      <c r="AB47" s="8">
        <v>32.5</v>
      </c>
      <c r="AC47" s="8">
        <v>65</v>
      </c>
      <c r="AD47" s="8"/>
      <c r="AE47" s="8"/>
      <c r="AF47" s="8"/>
      <c r="AG47" s="8"/>
      <c r="AH47" s="8"/>
      <c r="AI47" s="8"/>
      <c r="AJ47" s="8"/>
      <c r="AK47" s="8"/>
      <c r="AL47" s="8" t="s">
        <v>170</v>
      </c>
      <c r="AM47" s="8" t="s">
        <v>171</v>
      </c>
      <c r="AN47" s="8" t="s">
        <v>562</v>
      </c>
      <c r="AO47">
        <v>0.60980000000000001</v>
      </c>
      <c r="AP47">
        <v>4.2900000000000001E-2</v>
      </c>
      <c r="AQ47" t="s">
        <v>563</v>
      </c>
      <c r="AR47">
        <v>3.0625</v>
      </c>
      <c r="AS47">
        <v>0.1444</v>
      </c>
      <c r="AT47" t="s">
        <v>564</v>
      </c>
      <c r="AU47" s="8" t="s">
        <v>18</v>
      </c>
      <c r="AV47" s="8" t="s">
        <v>9</v>
      </c>
    </row>
    <row r="48" spans="1:48" ht="22.5" customHeight="1">
      <c r="A48" s="8" t="s">
        <v>150</v>
      </c>
      <c r="B48" t="s">
        <v>565</v>
      </c>
      <c r="C48" s="9" t="s">
        <v>566</v>
      </c>
      <c r="D48" s="9">
        <v>2022</v>
      </c>
      <c r="E48" s="9" t="s">
        <v>567</v>
      </c>
      <c r="F48" s="31" t="s">
        <v>568</v>
      </c>
      <c r="G48" s="8" t="s">
        <v>154</v>
      </c>
      <c r="H48" s="8" t="s">
        <v>155</v>
      </c>
      <c r="I48" s="8" t="s">
        <v>205</v>
      </c>
      <c r="J48" s="8" t="s">
        <v>157</v>
      </c>
      <c r="K48" s="8" t="s">
        <v>158</v>
      </c>
      <c r="L48" s="8" t="s">
        <v>207</v>
      </c>
      <c r="M48" s="8" t="s">
        <v>208</v>
      </c>
      <c r="N48" s="8" t="s">
        <v>569</v>
      </c>
      <c r="O48" s="8" t="s">
        <v>162</v>
      </c>
      <c r="P48" s="8" t="s">
        <v>9</v>
      </c>
      <c r="Q48" s="8" t="s">
        <v>163</v>
      </c>
      <c r="R48" s="8" t="s">
        <v>273</v>
      </c>
      <c r="S48" s="8" t="s">
        <v>570</v>
      </c>
      <c r="T48" s="8" t="s">
        <v>571</v>
      </c>
      <c r="U48" s="8">
        <v>7.6920000000000002</v>
      </c>
      <c r="V48" s="8" t="s">
        <v>572</v>
      </c>
      <c r="W48" s="8" t="s">
        <v>573</v>
      </c>
      <c r="X48" s="8" t="s">
        <v>178</v>
      </c>
      <c r="Y48" s="8" t="s">
        <v>196</v>
      </c>
      <c r="Z48" s="8" t="s">
        <v>196</v>
      </c>
      <c r="AA48" s="8" t="s">
        <v>196</v>
      </c>
      <c r="AB48" s="8" t="s">
        <v>196</v>
      </c>
      <c r="AC48" s="8" t="s">
        <v>196</v>
      </c>
      <c r="AD48" s="8"/>
      <c r="AE48" s="8"/>
      <c r="AF48" s="8"/>
      <c r="AG48" s="8"/>
      <c r="AH48" s="8"/>
      <c r="AI48" s="8"/>
      <c r="AJ48" s="8"/>
      <c r="AK48" s="8"/>
      <c r="AL48" s="8" t="s">
        <v>236</v>
      </c>
      <c r="AM48" s="8" t="s">
        <v>302</v>
      </c>
      <c r="AN48" s="8" t="s">
        <v>574</v>
      </c>
      <c r="AU48" s="8" t="s">
        <v>18</v>
      </c>
      <c r="AV48" s="8" t="s">
        <v>9</v>
      </c>
    </row>
    <row r="49" spans="1:48" ht="22.5" customHeight="1">
      <c r="A49" s="8" t="s">
        <v>150</v>
      </c>
      <c r="B49" t="s">
        <v>575</v>
      </c>
      <c r="C49" s="9" t="s">
        <v>566</v>
      </c>
      <c r="D49" s="9">
        <v>2022</v>
      </c>
      <c r="E49" s="9" t="s">
        <v>567</v>
      </c>
      <c r="F49" s="31" t="s">
        <v>568</v>
      </c>
      <c r="G49" s="8" t="s">
        <v>154</v>
      </c>
      <c r="H49" s="8" t="s">
        <v>176</v>
      </c>
      <c r="I49" s="8" t="s">
        <v>205</v>
      </c>
      <c r="J49" s="8" t="s">
        <v>157</v>
      </c>
      <c r="K49" s="8" t="s">
        <v>158</v>
      </c>
      <c r="L49" s="8" t="s">
        <v>207</v>
      </c>
      <c r="M49" s="8" t="s">
        <v>208</v>
      </c>
      <c r="N49" s="8" t="s">
        <v>576</v>
      </c>
      <c r="O49" s="8" t="s">
        <v>162</v>
      </c>
      <c r="P49" s="8" t="s">
        <v>9</v>
      </c>
      <c r="Q49" s="8" t="s">
        <v>163</v>
      </c>
      <c r="R49" s="8" t="s">
        <v>273</v>
      </c>
      <c r="S49" s="8" t="s">
        <v>577</v>
      </c>
      <c r="T49" s="8" t="s">
        <v>571</v>
      </c>
      <c r="U49" s="8">
        <v>1.391</v>
      </c>
      <c r="V49" s="8" t="s">
        <v>578</v>
      </c>
      <c r="W49" s="8" t="s">
        <v>579</v>
      </c>
      <c r="X49" s="8" t="s">
        <v>169</v>
      </c>
      <c r="Y49" s="8" t="s">
        <v>196</v>
      </c>
      <c r="Z49" s="8" t="s">
        <v>196</v>
      </c>
      <c r="AA49" s="8" t="s">
        <v>196</v>
      </c>
      <c r="AB49" s="8" t="s">
        <v>196</v>
      </c>
      <c r="AC49" s="8">
        <v>87</v>
      </c>
      <c r="AD49" s="8"/>
      <c r="AE49" s="8"/>
      <c r="AF49" s="8"/>
      <c r="AG49" s="8"/>
      <c r="AH49" s="8"/>
      <c r="AI49" s="8"/>
      <c r="AJ49" s="8"/>
      <c r="AK49" s="8"/>
      <c r="AL49" s="8" t="s">
        <v>236</v>
      </c>
      <c r="AM49" s="8" t="s">
        <v>302</v>
      </c>
      <c r="AN49" s="8" t="s">
        <v>580</v>
      </c>
      <c r="AU49" s="8" t="s">
        <v>18</v>
      </c>
      <c r="AV49" s="8" t="s">
        <v>9</v>
      </c>
    </row>
    <row r="50" spans="1:48" ht="22.5" customHeight="1">
      <c r="A50" s="8" t="s">
        <v>150</v>
      </c>
      <c r="B50" t="s">
        <v>581</v>
      </c>
      <c r="C50" s="9" t="s">
        <v>582</v>
      </c>
      <c r="D50" s="9">
        <v>2022</v>
      </c>
      <c r="E50" s="9" t="s">
        <v>583</v>
      </c>
      <c r="F50" s="31" t="s">
        <v>191</v>
      </c>
      <c r="G50" s="8" t="s">
        <v>154</v>
      </c>
      <c r="H50" s="8" t="s">
        <v>155</v>
      </c>
      <c r="I50" s="8" t="s">
        <v>156</v>
      </c>
      <c r="J50" s="8" t="s">
        <v>157</v>
      </c>
      <c r="K50" s="8" t="s">
        <v>158</v>
      </c>
      <c r="L50" s="8" t="s">
        <v>159</v>
      </c>
      <c r="M50" s="8" t="s">
        <v>160</v>
      </c>
      <c r="N50" s="8" t="s">
        <v>584</v>
      </c>
      <c r="O50" s="8" t="s">
        <v>162</v>
      </c>
      <c r="P50" s="8" t="s">
        <v>18</v>
      </c>
      <c r="Q50" s="8" t="s">
        <v>163</v>
      </c>
      <c r="R50" s="8" t="s">
        <v>211</v>
      </c>
      <c r="S50" s="8" t="s">
        <v>585</v>
      </c>
      <c r="T50" s="8" t="s">
        <v>586</v>
      </c>
      <c r="U50" s="8">
        <v>0.68</v>
      </c>
      <c r="V50" s="8" t="s">
        <v>587</v>
      </c>
      <c r="W50" s="8" t="s">
        <v>586</v>
      </c>
      <c r="X50" s="8" t="s">
        <v>178</v>
      </c>
      <c r="Y50" s="8">
        <v>49</v>
      </c>
      <c r="Z50" s="8">
        <v>23</v>
      </c>
      <c r="AA50" s="8">
        <v>36</v>
      </c>
      <c r="AB50" s="8">
        <v>36</v>
      </c>
      <c r="AC50" s="8">
        <v>72</v>
      </c>
      <c r="AD50" s="8"/>
      <c r="AE50" s="8"/>
      <c r="AF50" s="8"/>
      <c r="AG50" s="8"/>
      <c r="AH50" s="8"/>
      <c r="AI50" s="8"/>
      <c r="AJ50" s="8"/>
      <c r="AK50" s="8"/>
      <c r="AL50" s="8" t="s">
        <v>170</v>
      </c>
      <c r="AM50" s="8" t="s">
        <v>171</v>
      </c>
      <c r="AN50" s="8" t="s">
        <v>588</v>
      </c>
      <c r="AO50">
        <v>0.41260000000000002</v>
      </c>
      <c r="AP50">
        <v>3.5499999999999997E-2</v>
      </c>
      <c r="AQ50" t="s">
        <v>589</v>
      </c>
      <c r="AR50">
        <v>2.1303999999999998</v>
      </c>
      <c r="AS50">
        <v>0.11940000000000001</v>
      </c>
      <c r="AT50" t="s">
        <v>590</v>
      </c>
      <c r="AU50" s="8" t="s">
        <v>18</v>
      </c>
      <c r="AV50" s="8" t="s">
        <v>9</v>
      </c>
    </row>
    <row r="51" spans="1:48" ht="22.5" customHeight="1">
      <c r="A51" s="8" t="s">
        <v>150</v>
      </c>
      <c r="B51" t="s">
        <v>591</v>
      </c>
      <c r="C51" s="9" t="s">
        <v>592</v>
      </c>
      <c r="D51" s="9">
        <v>2023</v>
      </c>
      <c r="E51" s="9" t="s">
        <v>593</v>
      </c>
      <c r="F51" s="30" t="s">
        <v>814</v>
      </c>
      <c r="G51" s="8" t="s">
        <v>154</v>
      </c>
      <c r="H51" s="8" t="s">
        <v>155</v>
      </c>
      <c r="I51" s="8" t="s">
        <v>205</v>
      </c>
      <c r="J51" s="8" t="s">
        <v>157</v>
      </c>
      <c r="K51" s="8" t="s">
        <v>206</v>
      </c>
      <c r="L51" s="8" t="s">
        <v>207</v>
      </c>
      <c r="M51" s="8" t="s">
        <v>208</v>
      </c>
      <c r="N51" s="8" t="s">
        <v>594</v>
      </c>
      <c r="O51" s="8" t="s">
        <v>162</v>
      </c>
      <c r="P51" s="8" t="s">
        <v>9</v>
      </c>
      <c r="Q51" s="8" t="s">
        <v>163</v>
      </c>
      <c r="R51" s="8" t="s">
        <v>273</v>
      </c>
      <c r="S51" s="8" t="s">
        <v>595</v>
      </c>
      <c r="T51" s="8" t="s">
        <v>596</v>
      </c>
      <c r="U51" s="8">
        <v>-0.29699999999999999</v>
      </c>
      <c r="V51" s="8" t="s">
        <v>597</v>
      </c>
      <c r="W51" s="8" t="s">
        <v>598</v>
      </c>
      <c r="X51" s="8" t="s">
        <v>169</v>
      </c>
      <c r="Y51" s="8" t="s">
        <v>196</v>
      </c>
      <c r="Z51" s="8" t="s">
        <v>196</v>
      </c>
      <c r="AA51" s="8" t="s">
        <v>196</v>
      </c>
      <c r="AB51" s="8" t="s">
        <v>196</v>
      </c>
      <c r="AC51" s="8">
        <v>105</v>
      </c>
      <c r="AD51" s="8">
        <v>0.05</v>
      </c>
      <c r="AE51" s="8">
        <v>0.22</v>
      </c>
      <c r="AF51" s="8">
        <v>3.5000000000000003E-2</v>
      </c>
      <c r="AG51" s="8">
        <v>40</v>
      </c>
      <c r="AH51" s="8">
        <v>0.04</v>
      </c>
      <c r="AI51" s="8">
        <v>0.23</v>
      </c>
      <c r="AJ51" s="8">
        <v>2.9000000000000001E-2</v>
      </c>
      <c r="AK51" s="8">
        <v>65</v>
      </c>
      <c r="AL51" s="8" t="s">
        <v>170</v>
      </c>
      <c r="AM51" s="8" t="s">
        <v>216</v>
      </c>
      <c r="AN51" s="8" t="s">
        <v>599</v>
      </c>
      <c r="AO51" s="8">
        <v>-5.9200000000000003E-2</v>
      </c>
      <c r="AP51" s="8">
        <v>4.0399999999999998E-2</v>
      </c>
      <c r="AQ51" s="8" t="s">
        <v>600</v>
      </c>
      <c r="AR51">
        <v>0.8982</v>
      </c>
      <c r="AS51">
        <v>0.13289999999999999</v>
      </c>
      <c r="AT51" t="s">
        <v>601</v>
      </c>
      <c r="AU51" s="8" t="s">
        <v>18</v>
      </c>
      <c r="AV51" s="8" t="s">
        <v>9</v>
      </c>
    </row>
    <row r="52" spans="1:48" ht="22.5" customHeight="1">
      <c r="A52" s="8" t="s">
        <v>150</v>
      </c>
      <c r="B52" t="s">
        <v>602</v>
      </c>
      <c r="C52" s="9" t="s">
        <v>603</v>
      </c>
      <c r="D52" s="9">
        <v>2023</v>
      </c>
      <c r="E52" s="9" t="s">
        <v>604</v>
      </c>
      <c r="F52" s="30" t="s">
        <v>191</v>
      </c>
      <c r="G52" s="8" t="s">
        <v>154</v>
      </c>
      <c r="H52" s="8" t="s">
        <v>155</v>
      </c>
      <c r="I52" s="8" t="s">
        <v>156</v>
      </c>
      <c r="J52" s="8" t="s">
        <v>157</v>
      </c>
      <c r="K52" s="8" t="s">
        <v>158</v>
      </c>
      <c r="L52" s="8" t="s">
        <v>159</v>
      </c>
      <c r="M52" s="8" t="s">
        <v>160</v>
      </c>
      <c r="N52" s="8" t="s">
        <v>605</v>
      </c>
      <c r="O52" s="8" t="s">
        <v>162</v>
      </c>
      <c r="P52" s="8" t="s">
        <v>18</v>
      </c>
      <c r="Q52" s="8" t="s">
        <v>163</v>
      </c>
      <c r="R52" s="8" t="s">
        <v>211</v>
      </c>
      <c r="S52" s="8" t="s">
        <v>606</v>
      </c>
      <c r="T52" s="8" t="s">
        <v>607</v>
      </c>
      <c r="U52" s="8">
        <v>0.65</v>
      </c>
      <c r="V52" s="8" t="s">
        <v>608</v>
      </c>
      <c r="W52" s="8" t="s">
        <v>609</v>
      </c>
      <c r="X52" s="8" t="s">
        <v>178</v>
      </c>
      <c r="Y52" s="8">
        <v>42</v>
      </c>
      <c r="Z52" s="8">
        <v>23</v>
      </c>
      <c r="AA52" s="8">
        <v>32.5</v>
      </c>
      <c r="AB52" s="8">
        <v>32.5</v>
      </c>
      <c r="AC52" s="8">
        <v>65</v>
      </c>
      <c r="AD52" s="8"/>
      <c r="AE52" s="8"/>
      <c r="AF52" s="8"/>
      <c r="AG52" s="8"/>
      <c r="AH52" s="8"/>
      <c r="AI52" s="8"/>
      <c r="AJ52" s="8"/>
      <c r="AK52" s="8"/>
      <c r="AL52" s="8" t="s">
        <v>253</v>
      </c>
      <c r="AM52" s="8" t="s">
        <v>171</v>
      </c>
      <c r="AO52">
        <v>0.3281</v>
      </c>
      <c r="AP52">
        <v>3.8199999999999998E-2</v>
      </c>
      <c r="AQ52" t="s">
        <v>610</v>
      </c>
      <c r="AR52">
        <v>1.8261000000000001</v>
      </c>
      <c r="AS52">
        <v>0.1288</v>
      </c>
      <c r="AT52" t="s">
        <v>611</v>
      </c>
      <c r="AU52" s="8" t="s">
        <v>18</v>
      </c>
      <c r="AV52" s="8" t="s">
        <v>9</v>
      </c>
    </row>
    <row r="53" spans="1:48" ht="22.5" customHeight="1">
      <c r="A53" s="8" t="s">
        <v>150</v>
      </c>
      <c r="B53" t="s">
        <v>612</v>
      </c>
      <c r="C53" s="9" t="s">
        <v>603</v>
      </c>
      <c r="D53" s="9">
        <v>2023</v>
      </c>
      <c r="E53" s="9" t="s">
        <v>604</v>
      </c>
      <c r="F53" s="30" t="s">
        <v>191</v>
      </c>
      <c r="G53" s="8" t="s">
        <v>154</v>
      </c>
      <c r="H53" s="8" t="s">
        <v>176</v>
      </c>
      <c r="I53" s="8" t="s">
        <v>156</v>
      </c>
      <c r="J53" s="8" t="s">
        <v>157</v>
      </c>
      <c r="K53" s="8" t="s">
        <v>158</v>
      </c>
      <c r="L53" s="8" t="s">
        <v>159</v>
      </c>
      <c r="M53" s="8" t="s">
        <v>160</v>
      </c>
      <c r="N53" s="8" t="s">
        <v>613</v>
      </c>
      <c r="O53" s="8" t="s">
        <v>162</v>
      </c>
      <c r="P53" s="8" t="s">
        <v>18</v>
      </c>
      <c r="Q53" s="8" t="s">
        <v>163</v>
      </c>
      <c r="R53" s="8" t="s">
        <v>211</v>
      </c>
      <c r="S53" s="8" t="s">
        <v>614</v>
      </c>
      <c r="T53" s="8" t="s">
        <v>607</v>
      </c>
      <c r="U53" s="8">
        <v>0.7</v>
      </c>
      <c r="V53" s="8" t="s">
        <v>615</v>
      </c>
      <c r="W53" s="8" t="s">
        <v>616</v>
      </c>
      <c r="X53" s="8" t="s">
        <v>178</v>
      </c>
      <c r="Y53" s="8">
        <v>45</v>
      </c>
      <c r="Z53" s="8">
        <v>20</v>
      </c>
      <c r="AA53" s="8">
        <v>32.5</v>
      </c>
      <c r="AB53" s="8">
        <v>32.5</v>
      </c>
      <c r="AC53" s="8">
        <v>65</v>
      </c>
      <c r="AD53" s="8"/>
      <c r="AE53" s="8"/>
      <c r="AF53" s="8"/>
      <c r="AG53" s="8"/>
      <c r="AH53" s="8"/>
      <c r="AI53" s="8"/>
      <c r="AJ53" s="8"/>
      <c r="AK53" s="8"/>
      <c r="AL53" s="8" t="s">
        <v>253</v>
      </c>
      <c r="AM53" s="8" t="s">
        <v>171</v>
      </c>
      <c r="AN53" s="8" t="s">
        <v>617</v>
      </c>
      <c r="AO53">
        <v>0.44180000000000003</v>
      </c>
      <c r="AP53">
        <v>3.9699999999999999E-2</v>
      </c>
      <c r="AQ53" t="s">
        <v>618</v>
      </c>
      <c r="AR53">
        <v>2.25</v>
      </c>
      <c r="AS53">
        <v>0.1338</v>
      </c>
      <c r="AT53" t="s">
        <v>619</v>
      </c>
      <c r="AU53" s="8" t="s">
        <v>18</v>
      </c>
      <c r="AV53" s="8" t="s">
        <v>9</v>
      </c>
    </row>
    <row r="54" spans="1:48" ht="22.5" customHeight="1">
      <c r="A54" s="8" t="s">
        <v>150</v>
      </c>
      <c r="B54" t="s">
        <v>620</v>
      </c>
      <c r="C54" s="9" t="s">
        <v>621</v>
      </c>
      <c r="D54" s="9">
        <v>2025</v>
      </c>
      <c r="E54" s="9" t="s">
        <v>622</v>
      </c>
      <c r="F54" s="30" t="s">
        <v>813</v>
      </c>
      <c r="G54" s="8" t="s">
        <v>154</v>
      </c>
      <c r="H54" s="8" t="s">
        <v>155</v>
      </c>
      <c r="I54" s="8" t="s">
        <v>156</v>
      </c>
      <c r="J54" s="8" t="s">
        <v>157</v>
      </c>
      <c r="K54" s="8" t="s">
        <v>158</v>
      </c>
      <c r="L54" s="8" t="s">
        <v>159</v>
      </c>
      <c r="M54" s="8" t="s">
        <v>160</v>
      </c>
      <c r="N54" s="8" t="s">
        <v>623</v>
      </c>
      <c r="O54" s="8" t="s">
        <v>162</v>
      </c>
      <c r="P54" s="8" t="s">
        <v>18</v>
      </c>
      <c r="Q54" s="8" t="s">
        <v>163</v>
      </c>
      <c r="R54" s="8" t="s">
        <v>211</v>
      </c>
      <c r="S54" s="8" t="s">
        <v>624</v>
      </c>
      <c r="T54" s="8" t="s">
        <v>625</v>
      </c>
      <c r="U54" s="8">
        <v>0.72</v>
      </c>
      <c r="V54" s="8" t="s">
        <v>626</v>
      </c>
      <c r="W54" s="8" t="s">
        <v>627</v>
      </c>
      <c r="X54" s="8" t="s">
        <v>178</v>
      </c>
      <c r="Y54" s="8">
        <v>138</v>
      </c>
      <c r="Z54" s="8">
        <v>54</v>
      </c>
      <c r="AA54" s="8">
        <v>83</v>
      </c>
      <c r="AB54" s="8">
        <v>106</v>
      </c>
      <c r="AC54" s="8">
        <v>381</v>
      </c>
      <c r="AD54" s="8"/>
      <c r="AE54" s="8"/>
      <c r="AF54" s="8"/>
      <c r="AG54" s="8"/>
      <c r="AH54" s="8"/>
      <c r="AI54" s="8"/>
      <c r="AJ54" s="8"/>
      <c r="AK54" s="8"/>
      <c r="AL54" s="8" t="s">
        <v>170</v>
      </c>
      <c r="AM54" s="8" t="s">
        <v>171</v>
      </c>
      <c r="AN54" s="8" t="s">
        <v>628</v>
      </c>
      <c r="AO54">
        <v>0.65090000000000003</v>
      </c>
      <c r="AP54">
        <v>1.43E-2</v>
      </c>
      <c r="AQ54" t="s">
        <v>629</v>
      </c>
      <c r="AR54">
        <v>3.2637</v>
      </c>
      <c r="AS54">
        <v>4.7199999999999999E-2</v>
      </c>
      <c r="AT54" t="s">
        <v>630</v>
      </c>
      <c r="AU54" s="8" t="s">
        <v>18</v>
      </c>
      <c r="AV54" s="8" t="s">
        <v>9</v>
      </c>
    </row>
    <row r="55" spans="1:48" ht="22.5" customHeight="1">
      <c r="A55" s="8" t="s">
        <v>150</v>
      </c>
      <c r="B55" t="s">
        <v>631</v>
      </c>
      <c r="C55" s="9" t="s">
        <v>632</v>
      </c>
      <c r="D55" s="9">
        <v>2025</v>
      </c>
      <c r="E55" s="9" t="s">
        <v>633</v>
      </c>
      <c r="F55" s="31" t="s">
        <v>191</v>
      </c>
      <c r="G55" s="8" t="s">
        <v>154</v>
      </c>
      <c r="H55" s="8" t="s">
        <v>155</v>
      </c>
      <c r="I55" s="8" t="s">
        <v>156</v>
      </c>
      <c r="J55" s="8" t="s">
        <v>157</v>
      </c>
      <c r="K55" s="8" t="s">
        <v>158</v>
      </c>
      <c r="L55" s="8" t="s">
        <v>159</v>
      </c>
      <c r="M55" s="8" t="s">
        <v>160</v>
      </c>
      <c r="N55" s="8" t="s">
        <v>634</v>
      </c>
      <c r="O55" s="8" t="s">
        <v>162</v>
      </c>
      <c r="P55" s="8" t="s">
        <v>18</v>
      </c>
      <c r="Q55" s="8" t="s">
        <v>163</v>
      </c>
      <c r="R55" s="8" t="s">
        <v>164</v>
      </c>
      <c r="S55" s="8" t="s">
        <v>635</v>
      </c>
      <c r="T55" s="8" t="s">
        <v>543</v>
      </c>
      <c r="U55" s="8">
        <v>0.74</v>
      </c>
      <c r="V55" s="8" t="s">
        <v>636</v>
      </c>
      <c r="W55" s="8" t="s">
        <v>637</v>
      </c>
      <c r="X55" s="8" t="s">
        <v>178</v>
      </c>
      <c r="Y55" s="8">
        <v>47</v>
      </c>
      <c r="Z55" s="8">
        <v>17</v>
      </c>
      <c r="AA55" s="8">
        <v>32</v>
      </c>
      <c r="AB55" s="8">
        <v>32</v>
      </c>
      <c r="AC55" s="8">
        <v>64</v>
      </c>
      <c r="AD55" s="8"/>
      <c r="AE55" s="8"/>
      <c r="AF55" s="8"/>
      <c r="AG55" s="8"/>
      <c r="AH55" s="8"/>
      <c r="AI55" s="8"/>
      <c r="AJ55" s="8"/>
      <c r="AK55" s="8"/>
      <c r="AL55" s="8" t="s">
        <v>253</v>
      </c>
      <c r="AM55" s="8" t="s">
        <v>171</v>
      </c>
      <c r="AO55">
        <v>0.55400000000000005</v>
      </c>
      <c r="AP55">
        <v>4.2299999999999997E-2</v>
      </c>
      <c r="AQ55" t="s">
        <v>638</v>
      </c>
      <c r="AR55">
        <v>2.7646999999999999</v>
      </c>
      <c r="AS55">
        <v>0.1426</v>
      </c>
      <c r="AT55" t="s">
        <v>639</v>
      </c>
      <c r="AU55" s="8" t="s">
        <v>18</v>
      </c>
      <c r="AV55" s="8" t="s">
        <v>9</v>
      </c>
    </row>
    <row r="56" spans="1:48" ht="22.5" customHeight="1">
      <c r="A56" s="8" t="s">
        <v>150</v>
      </c>
      <c r="B56" t="s">
        <v>640</v>
      </c>
      <c r="C56" s="9" t="s">
        <v>632</v>
      </c>
      <c r="D56" s="9">
        <v>2025</v>
      </c>
      <c r="E56" s="9" t="s">
        <v>633</v>
      </c>
      <c r="F56" s="31" t="s">
        <v>191</v>
      </c>
      <c r="G56" s="8" t="s">
        <v>154</v>
      </c>
      <c r="H56" s="8" t="s">
        <v>176</v>
      </c>
      <c r="I56" s="8" t="s">
        <v>156</v>
      </c>
      <c r="J56" s="8" t="s">
        <v>157</v>
      </c>
      <c r="K56" s="8" t="s">
        <v>158</v>
      </c>
      <c r="L56" s="8" t="s">
        <v>159</v>
      </c>
      <c r="M56" s="8" t="s">
        <v>160</v>
      </c>
      <c r="N56" s="8" t="s">
        <v>641</v>
      </c>
      <c r="O56" s="8" t="s">
        <v>162</v>
      </c>
      <c r="P56" s="8" t="s">
        <v>18</v>
      </c>
      <c r="Q56" s="8" t="s">
        <v>163</v>
      </c>
      <c r="R56" s="8" t="s">
        <v>164</v>
      </c>
      <c r="S56" s="8" t="s">
        <v>642</v>
      </c>
      <c r="T56" s="8" t="s">
        <v>543</v>
      </c>
      <c r="U56" s="8">
        <v>0.72</v>
      </c>
      <c r="V56" s="8" t="s">
        <v>643</v>
      </c>
      <c r="W56" s="8" t="s">
        <v>637</v>
      </c>
      <c r="X56" s="8" t="s">
        <v>178</v>
      </c>
      <c r="Y56" s="8">
        <v>48</v>
      </c>
      <c r="Z56" s="8">
        <v>18</v>
      </c>
      <c r="AA56" s="8">
        <v>33</v>
      </c>
      <c r="AB56" s="8">
        <v>33</v>
      </c>
      <c r="AC56" s="8">
        <v>66</v>
      </c>
      <c r="AD56" s="8"/>
      <c r="AE56" s="8"/>
      <c r="AF56" s="8"/>
      <c r="AG56" s="8"/>
      <c r="AH56" s="8"/>
      <c r="AI56" s="8"/>
      <c r="AJ56" s="8"/>
      <c r="AK56" s="8"/>
      <c r="AL56" s="8" t="s">
        <v>253</v>
      </c>
      <c r="AM56" s="8" t="s">
        <v>171</v>
      </c>
      <c r="AO56">
        <v>0.53449999999999998</v>
      </c>
      <c r="AP56">
        <v>4.07E-2</v>
      </c>
      <c r="AQ56" t="s">
        <v>644</v>
      </c>
      <c r="AR56">
        <v>2.6667000000000001</v>
      </c>
      <c r="AS56">
        <v>0.13700000000000001</v>
      </c>
      <c r="AT56" t="s">
        <v>645</v>
      </c>
      <c r="AU56" s="8" t="s">
        <v>18</v>
      </c>
      <c r="AV56" s="8" t="s">
        <v>9</v>
      </c>
    </row>
    <row r="57" spans="1:48" ht="22.5" customHeight="1">
      <c r="A57" s="8" t="s">
        <v>150</v>
      </c>
      <c r="B57" t="s">
        <v>646</v>
      </c>
      <c r="C57" s="9" t="s">
        <v>632</v>
      </c>
      <c r="D57" s="9">
        <v>2025</v>
      </c>
      <c r="E57" s="9" t="s">
        <v>633</v>
      </c>
      <c r="F57" s="31" t="s">
        <v>191</v>
      </c>
      <c r="G57" s="8" t="s">
        <v>154</v>
      </c>
      <c r="H57" s="8" t="s">
        <v>183</v>
      </c>
      <c r="I57" s="8" t="s">
        <v>156</v>
      </c>
      <c r="J57" s="8" t="s">
        <v>157</v>
      </c>
      <c r="K57" s="8" t="s">
        <v>158</v>
      </c>
      <c r="L57" s="8" t="s">
        <v>159</v>
      </c>
      <c r="M57" s="8" t="s">
        <v>160</v>
      </c>
      <c r="N57" s="8" t="s">
        <v>647</v>
      </c>
      <c r="O57" s="8" t="s">
        <v>162</v>
      </c>
      <c r="P57" s="8" t="s">
        <v>18</v>
      </c>
      <c r="Q57" s="8" t="s">
        <v>163</v>
      </c>
      <c r="R57" s="8" t="s">
        <v>164</v>
      </c>
      <c r="S57" s="8" t="s">
        <v>648</v>
      </c>
      <c r="T57" s="8" t="s">
        <v>543</v>
      </c>
      <c r="U57" s="8">
        <v>0.7</v>
      </c>
      <c r="V57" s="8" t="s">
        <v>649</v>
      </c>
      <c r="W57" s="8" t="s">
        <v>637</v>
      </c>
      <c r="X57" s="8" t="s">
        <v>178</v>
      </c>
      <c r="Y57" s="8">
        <v>45</v>
      </c>
      <c r="Z57" s="8">
        <v>19</v>
      </c>
      <c r="AA57" s="8">
        <v>32</v>
      </c>
      <c r="AB57" s="8">
        <v>32</v>
      </c>
      <c r="AC57" s="8">
        <v>64</v>
      </c>
      <c r="AD57" s="8"/>
      <c r="AE57" s="8"/>
      <c r="AF57" s="8"/>
      <c r="AG57" s="8"/>
      <c r="AH57" s="8"/>
      <c r="AI57" s="8"/>
      <c r="AJ57" s="8"/>
      <c r="AK57" s="8"/>
      <c r="AL57" s="8" t="s">
        <v>253</v>
      </c>
      <c r="AM57" s="8" t="s">
        <v>171</v>
      </c>
      <c r="AO57">
        <v>0.46970000000000001</v>
      </c>
      <c r="AP57">
        <v>4.0800000000000003E-2</v>
      </c>
      <c r="AQ57" t="s">
        <v>650</v>
      </c>
      <c r="AR57">
        <v>2.3683999999999998</v>
      </c>
      <c r="AS57">
        <v>0.13739999999999999</v>
      </c>
      <c r="AT57" t="s">
        <v>651</v>
      </c>
      <c r="AU57" s="8" t="s">
        <v>18</v>
      </c>
      <c r="AV57" s="8" t="s">
        <v>9</v>
      </c>
    </row>
    <row r="58" spans="1:48" ht="22.5" customHeight="1">
      <c r="A58" s="8" t="s">
        <v>150</v>
      </c>
      <c r="B58" t="s">
        <v>652</v>
      </c>
      <c r="C58" s="9" t="s">
        <v>632</v>
      </c>
      <c r="D58" s="9">
        <v>2025</v>
      </c>
      <c r="E58" s="9" t="s">
        <v>633</v>
      </c>
      <c r="F58" s="31" t="s">
        <v>191</v>
      </c>
      <c r="G58" s="8" t="s">
        <v>154</v>
      </c>
      <c r="H58" s="8" t="s">
        <v>375</v>
      </c>
      <c r="I58" s="8" t="s">
        <v>156</v>
      </c>
      <c r="J58" s="8" t="s">
        <v>157</v>
      </c>
      <c r="K58" s="8" t="s">
        <v>158</v>
      </c>
      <c r="L58" s="8" t="s">
        <v>159</v>
      </c>
      <c r="M58" s="8" t="s">
        <v>160</v>
      </c>
      <c r="N58" s="8" t="s">
        <v>653</v>
      </c>
      <c r="O58" s="8" t="s">
        <v>162</v>
      </c>
      <c r="P58" s="8" t="s">
        <v>18</v>
      </c>
      <c r="Q58" s="8" t="s">
        <v>163</v>
      </c>
      <c r="R58" s="8" t="s">
        <v>164</v>
      </c>
      <c r="S58" s="8" t="s">
        <v>654</v>
      </c>
      <c r="T58" s="8" t="s">
        <v>543</v>
      </c>
      <c r="U58" s="8">
        <v>0.71</v>
      </c>
      <c r="V58" s="8" t="s">
        <v>655</v>
      </c>
      <c r="W58" s="8" t="s">
        <v>656</v>
      </c>
      <c r="X58" s="8" t="s">
        <v>178</v>
      </c>
      <c r="Y58" s="8">
        <v>47</v>
      </c>
      <c r="Z58" s="8">
        <v>19</v>
      </c>
      <c r="AA58" s="8">
        <v>33</v>
      </c>
      <c r="AB58" s="8">
        <v>33</v>
      </c>
      <c r="AC58" s="8">
        <v>66</v>
      </c>
      <c r="AD58" s="8"/>
      <c r="AE58" s="8"/>
      <c r="AF58" s="8"/>
      <c r="AG58" s="8"/>
      <c r="AH58" s="8"/>
      <c r="AI58" s="8"/>
      <c r="AJ58" s="8"/>
      <c r="AK58" s="8"/>
      <c r="AL58" s="8" t="s">
        <v>253</v>
      </c>
      <c r="AM58" s="8" t="s">
        <v>171</v>
      </c>
      <c r="AO58">
        <v>0.49359999999999998</v>
      </c>
      <c r="AP58">
        <v>3.9899999999999998E-2</v>
      </c>
      <c r="AQ58" t="s">
        <v>657</v>
      </c>
      <c r="AR58">
        <v>2.4737</v>
      </c>
      <c r="AS58">
        <v>0.13450000000000001</v>
      </c>
      <c r="AT58" t="s">
        <v>658</v>
      </c>
      <c r="AU58" s="8" t="s">
        <v>18</v>
      </c>
      <c r="AV58" s="8" t="s">
        <v>9</v>
      </c>
    </row>
    <row r="59" spans="1:48" ht="22.5" customHeight="1">
      <c r="A59" s="8" t="s">
        <v>150</v>
      </c>
      <c r="B59" t="s">
        <v>659</v>
      </c>
      <c r="C59" s="9" t="s">
        <v>660</v>
      </c>
      <c r="D59" s="9">
        <v>2003</v>
      </c>
      <c r="E59" s="9" t="s">
        <v>661</v>
      </c>
      <c r="F59" s="31" t="s">
        <v>662</v>
      </c>
      <c r="G59" s="8" t="s">
        <v>154</v>
      </c>
      <c r="H59" s="8" t="s">
        <v>155</v>
      </c>
      <c r="I59" s="8" t="s">
        <v>205</v>
      </c>
      <c r="J59" s="8" t="s">
        <v>157</v>
      </c>
      <c r="K59" s="8" t="s">
        <v>206</v>
      </c>
      <c r="L59" s="8" t="s">
        <v>159</v>
      </c>
      <c r="M59" s="8" t="s">
        <v>208</v>
      </c>
      <c r="N59" s="8" t="s">
        <v>663</v>
      </c>
      <c r="O59" s="8" t="s">
        <v>162</v>
      </c>
      <c r="P59" s="8" t="s">
        <v>9</v>
      </c>
      <c r="Q59" s="8" t="s">
        <v>163</v>
      </c>
      <c r="R59" s="8" t="s">
        <v>273</v>
      </c>
      <c r="S59" s="8" t="s">
        <v>664</v>
      </c>
      <c r="T59" s="8" t="s">
        <v>665</v>
      </c>
      <c r="U59" s="8">
        <v>3.16</v>
      </c>
      <c r="V59" s="8" t="s">
        <v>666</v>
      </c>
      <c r="W59" s="8" t="s">
        <v>667</v>
      </c>
      <c r="X59" s="8" t="s">
        <v>178</v>
      </c>
      <c r="Y59" s="8" t="s">
        <v>196</v>
      </c>
      <c r="Z59" s="8" t="s">
        <v>196</v>
      </c>
      <c r="AA59" s="8" t="s">
        <v>196</v>
      </c>
      <c r="AB59" s="8" t="s">
        <v>196</v>
      </c>
      <c r="AC59" s="8">
        <v>15</v>
      </c>
      <c r="AD59" s="8"/>
      <c r="AE59" s="8"/>
      <c r="AF59" s="8"/>
      <c r="AG59" s="8"/>
      <c r="AH59" s="8"/>
      <c r="AI59" s="8"/>
      <c r="AJ59" s="8"/>
      <c r="AK59" s="8"/>
      <c r="AL59" s="8" t="s">
        <v>170</v>
      </c>
      <c r="AM59" s="8" t="s">
        <v>302</v>
      </c>
      <c r="AN59" s="8" t="s">
        <v>668</v>
      </c>
      <c r="AO59">
        <v>0.77139999999999997</v>
      </c>
      <c r="AP59">
        <v>8.7900000000000006E-2</v>
      </c>
      <c r="AQ59" t="s">
        <v>669</v>
      </c>
      <c r="AR59">
        <v>4.0518000000000001</v>
      </c>
      <c r="AS59">
        <v>0.28920000000000001</v>
      </c>
      <c r="AT59" t="s">
        <v>670</v>
      </c>
      <c r="AU59" s="8" t="s">
        <v>18</v>
      </c>
      <c r="AV59" s="8" t="s">
        <v>9</v>
      </c>
    </row>
    <row r="60" spans="1:48" ht="22.5" customHeight="1">
      <c r="A60" s="8" t="s">
        <v>150</v>
      </c>
      <c r="B60" t="s">
        <v>671</v>
      </c>
      <c r="C60" s="9" t="s">
        <v>660</v>
      </c>
      <c r="D60" s="9">
        <v>2003</v>
      </c>
      <c r="E60" s="9" t="s">
        <v>661</v>
      </c>
      <c r="F60" s="31" t="s">
        <v>662</v>
      </c>
      <c r="G60" s="8" t="s">
        <v>154</v>
      </c>
      <c r="H60" s="8" t="s">
        <v>176</v>
      </c>
      <c r="I60" s="8" t="s">
        <v>205</v>
      </c>
      <c r="J60" s="8" t="s">
        <v>157</v>
      </c>
      <c r="K60" s="8" t="s">
        <v>206</v>
      </c>
      <c r="L60" s="8" t="s">
        <v>159</v>
      </c>
      <c r="M60" s="8" t="s">
        <v>208</v>
      </c>
      <c r="N60" s="8" t="s">
        <v>672</v>
      </c>
      <c r="O60" s="8" t="s">
        <v>162</v>
      </c>
      <c r="P60" s="8" t="s">
        <v>9</v>
      </c>
      <c r="Q60" s="8" t="s">
        <v>163</v>
      </c>
      <c r="R60" s="8" t="s">
        <v>273</v>
      </c>
      <c r="S60" s="8" t="s">
        <v>673</v>
      </c>
      <c r="T60" s="8" t="s">
        <v>665</v>
      </c>
      <c r="U60" s="8">
        <v>3.14</v>
      </c>
      <c r="V60" s="8" t="s">
        <v>674</v>
      </c>
      <c r="W60" s="8" t="s">
        <v>675</v>
      </c>
      <c r="X60" s="8" t="s">
        <v>178</v>
      </c>
      <c r="Y60" s="8" t="s">
        <v>196</v>
      </c>
      <c r="Z60" s="8" t="s">
        <v>196</v>
      </c>
      <c r="AA60" s="8" t="s">
        <v>196</v>
      </c>
      <c r="AB60" s="8" t="s">
        <v>196</v>
      </c>
      <c r="AC60" s="8">
        <v>12</v>
      </c>
      <c r="AD60" s="8"/>
      <c r="AE60" s="8"/>
      <c r="AF60" s="8"/>
      <c r="AG60" s="8"/>
      <c r="AH60" s="8"/>
      <c r="AI60" s="8"/>
      <c r="AJ60" s="8"/>
      <c r="AK60" s="8"/>
      <c r="AL60" s="8" t="s">
        <v>170</v>
      </c>
      <c r="AM60" s="8" t="s">
        <v>302</v>
      </c>
      <c r="AN60" s="8" t="s">
        <v>676</v>
      </c>
      <c r="AO60">
        <v>0.84319999999999995</v>
      </c>
      <c r="AP60">
        <v>0.1157</v>
      </c>
      <c r="AQ60" t="s">
        <v>677</v>
      </c>
      <c r="AR60">
        <v>4.6154000000000002</v>
      </c>
      <c r="AS60">
        <v>0.38059999999999999</v>
      </c>
      <c r="AT60" t="s">
        <v>678</v>
      </c>
      <c r="AU60" s="8" t="s">
        <v>18</v>
      </c>
      <c r="AV60" s="8" t="s">
        <v>9</v>
      </c>
    </row>
    <row r="61" spans="1:48" ht="22.5" customHeight="1">
      <c r="A61" s="8" t="s">
        <v>150</v>
      </c>
      <c r="B61" t="s">
        <v>679</v>
      </c>
      <c r="C61" s="9" t="s">
        <v>660</v>
      </c>
      <c r="D61" s="9">
        <v>2003</v>
      </c>
      <c r="E61" s="9" t="s">
        <v>661</v>
      </c>
      <c r="F61" s="31" t="s">
        <v>662</v>
      </c>
      <c r="G61" s="8" t="s">
        <v>154</v>
      </c>
      <c r="H61" s="8" t="s">
        <v>183</v>
      </c>
      <c r="I61" s="8" t="s">
        <v>205</v>
      </c>
      <c r="J61" s="8" t="s">
        <v>157</v>
      </c>
      <c r="K61" s="8" t="s">
        <v>206</v>
      </c>
      <c r="L61" s="8" t="s">
        <v>159</v>
      </c>
      <c r="M61" s="8" t="s">
        <v>208</v>
      </c>
      <c r="N61" s="8" t="s">
        <v>680</v>
      </c>
      <c r="O61" s="8" t="s">
        <v>162</v>
      </c>
      <c r="P61" s="8" t="s">
        <v>9</v>
      </c>
      <c r="Q61" s="8" t="s">
        <v>163</v>
      </c>
      <c r="R61" s="8" t="s">
        <v>273</v>
      </c>
      <c r="S61" s="8" t="s">
        <v>681</v>
      </c>
      <c r="T61" s="8" t="s">
        <v>665</v>
      </c>
      <c r="U61" s="8">
        <v>0.93</v>
      </c>
      <c r="V61" s="8" t="s">
        <v>682</v>
      </c>
      <c r="W61" s="8" t="s">
        <v>683</v>
      </c>
      <c r="X61" s="8" t="s">
        <v>169</v>
      </c>
      <c r="Y61" s="8" t="s">
        <v>196</v>
      </c>
      <c r="Z61" s="8" t="s">
        <v>196</v>
      </c>
      <c r="AA61" s="8" t="s">
        <v>196</v>
      </c>
      <c r="AB61" s="8" t="s">
        <v>196</v>
      </c>
      <c r="AC61" s="8">
        <v>12</v>
      </c>
      <c r="AD61" s="8"/>
      <c r="AE61" s="8"/>
      <c r="AF61" s="8"/>
      <c r="AG61" s="8"/>
      <c r="AH61" s="8"/>
      <c r="AI61" s="8"/>
      <c r="AJ61" s="8"/>
      <c r="AK61" s="8"/>
      <c r="AL61" s="8" t="s">
        <v>170</v>
      </c>
      <c r="AM61" s="8" t="s">
        <v>302</v>
      </c>
      <c r="AN61" s="8" t="s">
        <v>676</v>
      </c>
      <c r="AO61">
        <v>0.24970000000000001</v>
      </c>
      <c r="AP61">
        <v>8.6199999999999999E-2</v>
      </c>
      <c r="AQ61" t="s">
        <v>684</v>
      </c>
      <c r="AR61">
        <v>1.5729</v>
      </c>
      <c r="AS61">
        <v>0.28360000000000002</v>
      </c>
      <c r="AT61" t="s">
        <v>685</v>
      </c>
      <c r="AU61" s="8" t="s">
        <v>18</v>
      </c>
      <c r="AV61" s="8" t="s">
        <v>9</v>
      </c>
    </row>
    <row r="62" spans="1:48" ht="22.5" customHeight="1">
      <c r="A62" s="8" t="s">
        <v>150</v>
      </c>
      <c r="B62" t="s">
        <v>686</v>
      </c>
      <c r="C62" s="9" t="s">
        <v>660</v>
      </c>
      <c r="D62" s="9">
        <v>2003</v>
      </c>
      <c r="E62" s="9" t="s">
        <v>661</v>
      </c>
      <c r="F62" s="31" t="s">
        <v>662</v>
      </c>
      <c r="G62" s="8" t="s">
        <v>154</v>
      </c>
      <c r="H62" s="8" t="s">
        <v>375</v>
      </c>
      <c r="I62" s="8" t="s">
        <v>205</v>
      </c>
      <c r="J62" s="8" t="s">
        <v>157</v>
      </c>
      <c r="K62" s="8" t="s">
        <v>206</v>
      </c>
      <c r="L62" s="8" t="s">
        <v>159</v>
      </c>
      <c r="M62" s="8" t="s">
        <v>208</v>
      </c>
      <c r="N62" s="8" t="s">
        <v>687</v>
      </c>
      <c r="O62" s="8" t="s">
        <v>162</v>
      </c>
      <c r="P62" s="8" t="s">
        <v>9</v>
      </c>
      <c r="Q62" s="8" t="s">
        <v>163</v>
      </c>
      <c r="R62" s="8" t="s">
        <v>273</v>
      </c>
      <c r="S62" s="8" t="s">
        <v>688</v>
      </c>
      <c r="T62" s="8" t="s">
        <v>689</v>
      </c>
      <c r="U62" s="8">
        <v>8.23</v>
      </c>
      <c r="V62" s="8" t="s">
        <v>690</v>
      </c>
      <c r="W62" s="8" t="s">
        <v>691</v>
      </c>
      <c r="X62" s="8" t="s">
        <v>178</v>
      </c>
      <c r="Y62" s="8" t="s">
        <v>196</v>
      </c>
      <c r="Z62" s="8" t="s">
        <v>196</v>
      </c>
      <c r="AA62" s="8" t="s">
        <v>196</v>
      </c>
      <c r="AB62" s="8" t="s">
        <v>196</v>
      </c>
      <c r="AC62" s="8">
        <v>15</v>
      </c>
      <c r="AD62" s="8"/>
      <c r="AE62" s="8"/>
      <c r="AF62" s="8"/>
      <c r="AG62" s="8"/>
      <c r="AH62" s="8"/>
      <c r="AI62" s="8"/>
      <c r="AJ62" s="8"/>
      <c r="AK62" s="8"/>
      <c r="AL62" s="8" t="s">
        <v>170</v>
      </c>
      <c r="AM62" s="8" t="s">
        <v>302</v>
      </c>
      <c r="AN62" s="8" t="s">
        <v>692</v>
      </c>
      <c r="AU62" s="8" t="s">
        <v>18</v>
      </c>
      <c r="AV62" s="8" t="s">
        <v>9</v>
      </c>
    </row>
    <row r="63" spans="1:48" ht="22.5" customHeight="1">
      <c r="A63" s="8" t="s">
        <v>150</v>
      </c>
      <c r="B63" t="s">
        <v>693</v>
      </c>
      <c r="C63" s="19" t="s">
        <v>694</v>
      </c>
      <c r="D63" s="9">
        <v>2008</v>
      </c>
      <c r="E63" s="9" t="s">
        <v>695</v>
      </c>
      <c r="F63" s="31" t="s">
        <v>204</v>
      </c>
      <c r="G63" s="8" t="s">
        <v>154</v>
      </c>
      <c r="H63" s="8" t="s">
        <v>155</v>
      </c>
      <c r="I63" s="8" t="s">
        <v>205</v>
      </c>
      <c r="J63" s="8" t="s">
        <v>157</v>
      </c>
      <c r="K63" s="8" t="s">
        <v>206</v>
      </c>
      <c r="L63" s="8" t="s">
        <v>696</v>
      </c>
      <c r="M63" s="8" t="s">
        <v>207</v>
      </c>
      <c r="N63" s="8" t="s">
        <v>697</v>
      </c>
      <c r="O63" s="8" t="s">
        <v>210</v>
      </c>
      <c r="P63" s="8" t="s">
        <v>9</v>
      </c>
      <c r="Q63" s="8" t="s">
        <v>196</v>
      </c>
      <c r="R63" s="8" t="s">
        <v>273</v>
      </c>
      <c r="S63" s="8" t="s">
        <v>698</v>
      </c>
      <c r="T63" s="8" t="s">
        <v>699</v>
      </c>
      <c r="U63" s="8">
        <v>0.88900000000000001</v>
      </c>
      <c r="V63" s="8" t="s">
        <v>700</v>
      </c>
      <c r="W63" s="8" t="s">
        <v>701</v>
      </c>
      <c r="X63" s="8" t="s">
        <v>178</v>
      </c>
      <c r="Y63" s="8">
        <v>16</v>
      </c>
      <c r="Z63" s="8">
        <v>2</v>
      </c>
      <c r="AA63" s="8">
        <v>9</v>
      </c>
      <c r="AB63" s="8">
        <v>9</v>
      </c>
      <c r="AC63" s="8">
        <v>36</v>
      </c>
      <c r="AD63" s="8"/>
      <c r="AE63" s="8"/>
      <c r="AF63" s="8"/>
      <c r="AG63" s="8"/>
      <c r="AH63" s="8"/>
      <c r="AI63" s="8"/>
      <c r="AJ63" s="8"/>
      <c r="AK63" s="8"/>
      <c r="AL63" s="8" t="s">
        <v>253</v>
      </c>
      <c r="AM63" s="8"/>
      <c r="AN63" s="8" t="s">
        <v>702</v>
      </c>
      <c r="AO63" s="8">
        <v>1.1216999999999999</v>
      </c>
      <c r="AP63" s="8">
        <v>0.2283</v>
      </c>
      <c r="AQ63" s="8" t="s">
        <v>703</v>
      </c>
      <c r="AR63" s="8">
        <v>8</v>
      </c>
      <c r="AS63" s="8">
        <v>0.78469999999999995</v>
      </c>
      <c r="AT63" s="8" t="s">
        <v>704</v>
      </c>
      <c r="AU63" s="8" t="s">
        <v>18</v>
      </c>
      <c r="AV63" s="8" t="s">
        <v>18</v>
      </c>
    </row>
    <row r="64" spans="1:48" ht="22.5" customHeight="1">
      <c r="A64" s="8" t="s">
        <v>150</v>
      </c>
      <c r="B64" t="s">
        <v>705</v>
      </c>
      <c r="C64" s="19" t="s">
        <v>694</v>
      </c>
      <c r="D64" s="9">
        <v>2008</v>
      </c>
      <c r="E64" s="9" t="s">
        <v>695</v>
      </c>
      <c r="F64" s="31" t="s">
        <v>204</v>
      </c>
      <c r="G64" s="8" t="s">
        <v>154</v>
      </c>
      <c r="H64" s="8" t="s">
        <v>176</v>
      </c>
      <c r="I64" s="8" t="s">
        <v>205</v>
      </c>
      <c r="J64" s="8" t="s">
        <v>157</v>
      </c>
      <c r="K64" s="8" t="s">
        <v>206</v>
      </c>
      <c r="L64" s="8" t="s">
        <v>696</v>
      </c>
      <c r="M64" s="8" t="s">
        <v>207</v>
      </c>
      <c r="N64" s="8" t="s">
        <v>706</v>
      </c>
      <c r="O64" s="8" t="s">
        <v>210</v>
      </c>
      <c r="P64" s="8" t="s">
        <v>9</v>
      </c>
      <c r="Q64" s="8" t="s">
        <v>196</v>
      </c>
      <c r="R64" s="8" t="s">
        <v>273</v>
      </c>
      <c r="S64" s="8" t="s">
        <v>707</v>
      </c>
      <c r="T64" s="8" t="s">
        <v>708</v>
      </c>
      <c r="U64" s="8">
        <v>65.02</v>
      </c>
      <c r="V64" s="8" t="s">
        <v>709</v>
      </c>
      <c r="W64" s="8" t="s">
        <v>710</v>
      </c>
      <c r="X64" s="8" t="s">
        <v>178</v>
      </c>
      <c r="Y64" s="8" t="s">
        <v>196</v>
      </c>
      <c r="Z64" s="8" t="s">
        <v>196</v>
      </c>
      <c r="AA64" s="8" t="s">
        <v>196</v>
      </c>
      <c r="AB64" s="8" t="s">
        <v>196</v>
      </c>
      <c r="AC64" s="8">
        <v>72</v>
      </c>
      <c r="AD64" s="8"/>
      <c r="AE64" s="8"/>
      <c r="AF64" s="8"/>
      <c r="AG64" s="8"/>
      <c r="AH64" s="8"/>
      <c r="AI64" s="8"/>
      <c r="AJ64" s="8"/>
      <c r="AK64" s="8"/>
      <c r="AL64" s="8" t="s">
        <v>253</v>
      </c>
      <c r="AM64" s="8"/>
      <c r="AN64" s="8" t="s">
        <v>711</v>
      </c>
      <c r="AU64" s="8" t="s">
        <v>18</v>
      </c>
      <c r="AV64" s="8" t="s">
        <v>18</v>
      </c>
    </row>
    <row r="65" spans="1:48" ht="22.5" customHeight="1">
      <c r="A65" s="8" t="s">
        <v>150</v>
      </c>
      <c r="B65" t="s">
        <v>712</v>
      </c>
      <c r="C65" s="18" t="s">
        <v>713</v>
      </c>
      <c r="D65" s="9">
        <v>2009</v>
      </c>
      <c r="E65" s="9" t="s">
        <v>714</v>
      </c>
      <c r="F65" s="31" t="s">
        <v>204</v>
      </c>
      <c r="AM65" s="8"/>
      <c r="AN65" s="8" t="s">
        <v>715</v>
      </c>
      <c r="AU65" s="8" t="s">
        <v>18</v>
      </c>
      <c r="AV65" s="8" t="s">
        <v>18</v>
      </c>
    </row>
    <row r="66" spans="1:48" ht="22.5" customHeight="1">
      <c r="A66" s="8" t="s">
        <v>150</v>
      </c>
      <c r="B66" t="s">
        <v>716</v>
      </c>
      <c r="C66" s="9" t="s">
        <v>717</v>
      </c>
      <c r="D66" s="9">
        <v>2020</v>
      </c>
      <c r="E66" s="9" t="s">
        <v>718</v>
      </c>
      <c r="F66" s="30" t="s">
        <v>296</v>
      </c>
      <c r="G66" s="8" t="s">
        <v>154</v>
      </c>
      <c r="H66" s="8" t="s">
        <v>155</v>
      </c>
      <c r="I66" s="8" t="s">
        <v>205</v>
      </c>
      <c r="J66" s="8" t="s">
        <v>157</v>
      </c>
      <c r="K66" s="8" t="s">
        <v>206</v>
      </c>
      <c r="L66" s="8" t="s">
        <v>207</v>
      </c>
      <c r="M66" s="8" t="s">
        <v>208</v>
      </c>
      <c r="N66" s="8" t="s">
        <v>719</v>
      </c>
      <c r="O66" s="8" t="s">
        <v>210</v>
      </c>
      <c r="P66" s="8" t="s">
        <v>9</v>
      </c>
      <c r="Q66" s="8" t="s">
        <v>163</v>
      </c>
      <c r="R66" s="8" t="s">
        <v>211</v>
      </c>
      <c r="S66" s="8" t="s">
        <v>720</v>
      </c>
      <c r="T66" s="8" t="s">
        <v>721</v>
      </c>
      <c r="U66" s="8" t="s">
        <v>196</v>
      </c>
      <c r="V66" s="8" t="s">
        <v>722</v>
      </c>
      <c r="W66" s="8" t="s">
        <v>723</v>
      </c>
      <c r="X66" s="8" t="s">
        <v>178</v>
      </c>
      <c r="Y66" s="8">
        <v>58</v>
      </c>
      <c r="Z66" s="8">
        <v>62</v>
      </c>
      <c r="AA66" s="8">
        <v>11</v>
      </c>
      <c r="AB66" s="8">
        <v>29</v>
      </c>
      <c r="AC66" s="8">
        <v>160</v>
      </c>
      <c r="AD66" s="8"/>
      <c r="AE66" s="8"/>
      <c r="AF66" s="8"/>
      <c r="AG66" s="8"/>
      <c r="AH66" s="8"/>
      <c r="AI66" s="8"/>
      <c r="AJ66" s="8"/>
      <c r="AK66" s="8"/>
      <c r="AL66" s="8" t="s">
        <v>253</v>
      </c>
      <c r="AM66" s="8" t="s">
        <v>171</v>
      </c>
      <c r="AN66" s="8" t="s">
        <v>724</v>
      </c>
      <c r="AO66">
        <v>0.49530000000000002</v>
      </c>
      <c r="AP66">
        <v>4.7800000000000002E-2</v>
      </c>
      <c r="AQ66" t="s">
        <v>725</v>
      </c>
      <c r="AR66">
        <v>2.4662999999999999</v>
      </c>
      <c r="AS66">
        <v>0.1588</v>
      </c>
      <c r="AT66" t="s">
        <v>726</v>
      </c>
      <c r="AU66" s="8" t="s">
        <v>18</v>
      </c>
      <c r="AV66" s="8" t="s">
        <v>9</v>
      </c>
    </row>
    <row r="67" spans="1:48" ht="22.5" customHeight="1">
      <c r="A67" s="8" t="s">
        <v>150</v>
      </c>
      <c r="B67" t="s">
        <v>727</v>
      </c>
      <c r="C67" s="18" t="s">
        <v>728</v>
      </c>
      <c r="D67" s="9">
        <v>2000</v>
      </c>
      <c r="E67" s="9" t="s">
        <v>729</v>
      </c>
      <c r="F67" s="31" t="s">
        <v>730</v>
      </c>
      <c r="G67" s="8" t="s">
        <v>731</v>
      </c>
      <c r="H67" s="8" t="s">
        <v>155</v>
      </c>
      <c r="AM67" s="8"/>
      <c r="AN67" s="8" t="s">
        <v>732</v>
      </c>
      <c r="AU67" s="8" t="s">
        <v>18</v>
      </c>
      <c r="AV67" s="8" t="s">
        <v>18</v>
      </c>
    </row>
    <row r="68" spans="1:48" ht="22.5" customHeight="1">
      <c r="A68" s="8" t="s">
        <v>150</v>
      </c>
      <c r="B68" t="s">
        <v>733</v>
      </c>
      <c r="C68" s="9" t="s">
        <v>734</v>
      </c>
      <c r="D68" s="9">
        <v>2014</v>
      </c>
      <c r="E68" s="9" t="s">
        <v>734</v>
      </c>
      <c r="F68" s="31" t="s">
        <v>735</v>
      </c>
      <c r="G68" s="8" t="s">
        <v>154</v>
      </c>
      <c r="H68" s="8" t="s">
        <v>155</v>
      </c>
      <c r="I68" s="8" t="s">
        <v>205</v>
      </c>
      <c r="J68" s="8" t="s">
        <v>157</v>
      </c>
      <c r="K68" s="8" t="s">
        <v>158</v>
      </c>
      <c r="L68" s="8" t="s">
        <v>159</v>
      </c>
      <c r="M68" s="8" t="s">
        <v>208</v>
      </c>
      <c r="N68" s="8" t="s">
        <v>736</v>
      </c>
      <c r="O68" s="8" t="s">
        <v>162</v>
      </c>
      <c r="P68" s="8" t="s">
        <v>18</v>
      </c>
      <c r="Q68" s="8" t="s">
        <v>163</v>
      </c>
      <c r="R68" s="8" t="s">
        <v>164</v>
      </c>
      <c r="S68" s="8" t="s">
        <v>737</v>
      </c>
      <c r="T68" s="8" t="s">
        <v>738</v>
      </c>
      <c r="U68" s="8" t="s">
        <v>739</v>
      </c>
      <c r="V68" s="8" t="s">
        <v>740</v>
      </c>
      <c r="W68" s="8" t="s">
        <v>741</v>
      </c>
      <c r="X68" s="8" t="s">
        <v>169</v>
      </c>
      <c r="Y68" s="8">
        <v>45</v>
      </c>
      <c r="Z68" s="8">
        <v>45</v>
      </c>
      <c r="AA68" s="8">
        <v>72</v>
      </c>
      <c r="AB68" s="8">
        <v>18</v>
      </c>
      <c r="AC68" s="8">
        <v>180</v>
      </c>
      <c r="AD68" s="8"/>
      <c r="AE68" s="8"/>
      <c r="AF68" s="8"/>
      <c r="AG68" s="8"/>
      <c r="AH68" s="8"/>
      <c r="AI68" s="8"/>
      <c r="AJ68" s="8"/>
      <c r="AK68" s="8"/>
      <c r="AL68" s="8" t="s">
        <v>236</v>
      </c>
      <c r="AM68" s="8" t="s">
        <v>171</v>
      </c>
      <c r="AN68" s="8" t="s">
        <v>742</v>
      </c>
      <c r="AO68" s="8">
        <v>-0.7611</v>
      </c>
      <c r="AP68" s="8">
        <v>3.4299999999999997E-2</v>
      </c>
      <c r="AQ68" s="8" t="s">
        <v>743</v>
      </c>
      <c r="AR68" s="8">
        <v>0.25</v>
      </c>
      <c r="AS68" s="8">
        <v>0.1139</v>
      </c>
      <c r="AT68" s="8" t="s">
        <v>744</v>
      </c>
      <c r="AU68" s="8" t="s">
        <v>18</v>
      </c>
      <c r="AV68" s="8" t="s">
        <v>9</v>
      </c>
    </row>
    <row r="69" spans="1:48" ht="22.5" customHeight="1">
      <c r="A69" s="8" t="s">
        <v>150</v>
      </c>
      <c r="B69" t="s">
        <v>745</v>
      </c>
      <c r="C69" s="9" t="s">
        <v>734</v>
      </c>
      <c r="D69" s="9">
        <v>2014</v>
      </c>
      <c r="E69" s="9" t="s">
        <v>734</v>
      </c>
      <c r="F69" s="31" t="s">
        <v>735</v>
      </c>
      <c r="G69" s="8" t="s">
        <v>154</v>
      </c>
      <c r="H69" s="8" t="s">
        <v>176</v>
      </c>
      <c r="I69" s="8" t="s">
        <v>205</v>
      </c>
      <c r="J69" s="8" t="s">
        <v>157</v>
      </c>
      <c r="K69" s="8" t="s">
        <v>158</v>
      </c>
      <c r="L69" s="8" t="s">
        <v>159</v>
      </c>
      <c r="M69" s="8" t="s">
        <v>208</v>
      </c>
      <c r="N69" s="8" t="s">
        <v>746</v>
      </c>
      <c r="O69" s="8" t="s">
        <v>162</v>
      </c>
      <c r="P69" s="8" t="s">
        <v>18</v>
      </c>
      <c r="Q69" s="8" t="s">
        <v>163</v>
      </c>
      <c r="R69" s="8" t="s">
        <v>164</v>
      </c>
      <c r="S69" s="8" t="s">
        <v>747</v>
      </c>
      <c r="T69" s="8" t="s">
        <v>738</v>
      </c>
      <c r="U69" s="8" t="s">
        <v>748</v>
      </c>
      <c r="V69" s="8" t="s">
        <v>749</v>
      </c>
      <c r="W69" s="8" t="s">
        <v>750</v>
      </c>
      <c r="X69" s="8" t="s">
        <v>178</v>
      </c>
      <c r="Y69" s="8">
        <v>45</v>
      </c>
      <c r="Z69" s="8">
        <v>45</v>
      </c>
      <c r="AA69" s="8">
        <v>17</v>
      </c>
      <c r="AB69" s="8">
        <v>73</v>
      </c>
      <c r="AC69" s="8">
        <v>180</v>
      </c>
      <c r="AD69" s="8"/>
      <c r="AE69" s="8"/>
      <c r="AF69" s="8"/>
      <c r="AG69" s="8"/>
      <c r="AH69" s="8"/>
      <c r="AI69" s="8"/>
      <c r="AJ69" s="8"/>
      <c r="AK69" s="8"/>
      <c r="AL69" s="8" t="s">
        <v>236</v>
      </c>
      <c r="AM69" s="8" t="s">
        <v>171</v>
      </c>
      <c r="AN69" s="8" t="s">
        <v>742</v>
      </c>
      <c r="AO69" s="8">
        <v>0.8</v>
      </c>
      <c r="AP69" s="8">
        <v>3.5299999999999998E-2</v>
      </c>
      <c r="AQ69" s="8" t="s">
        <v>751</v>
      </c>
      <c r="AR69" s="8">
        <v>4.2941000000000003</v>
      </c>
      <c r="AS69" s="8">
        <v>0.11700000000000001</v>
      </c>
      <c r="AT69" s="8" t="s">
        <v>744</v>
      </c>
      <c r="AU69" s="8" t="s">
        <v>18</v>
      </c>
      <c r="AV69" s="8" t="s">
        <v>9</v>
      </c>
    </row>
    <row r="70" spans="1:48" ht="22.5" customHeight="1">
      <c r="A70" s="8" t="s">
        <v>150</v>
      </c>
      <c r="B70" t="s">
        <v>752</v>
      </c>
      <c r="C70" s="9" t="s">
        <v>734</v>
      </c>
      <c r="D70" s="9">
        <v>2014</v>
      </c>
      <c r="E70" s="9" t="s">
        <v>734</v>
      </c>
      <c r="F70" s="31" t="s">
        <v>735</v>
      </c>
      <c r="G70" s="8" t="s">
        <v>154</v>
      </c>
      <c r="H70" s="8" t="s">
        <v>183</v>
      </c>
      <c r="I70" s="8" t="s">
        <v>205</v>
      </c>
      <c r="J70" s="8" t="s">
        <v>157</v>
      </c>
      <c r="K70" s="8" t="s">
        <v>158</v>
      </c>
      <c r="L70" s="8" t="s">
        <v>159</v>
      </c>
      <c r="M70" s="8" t="s">
        <v>208</v>
      </c>
      <c r="N70" s="8" t="s">
        <v>753</v>
      </c>
      <c r="O70" s="8" t="s">
        <v>162</v>
      </c>
      <c r="P70" s="8" t="s">
        <v>18</v>
      </c>
      <c r="Q70" s="8" t="s">
        <v>163</v>
      </c>
      <c r="R70" s="8" t="s">
        <v>164</v>
      </c>
      <c r="S70" s="8" t="s">
        <v>754</v>
      </c>
      <c r="T70" s="8" t="s">
        <v>738</v>
      </c>
      <c r="U70" s="8" t="s">
        <v>755</v>
      </c>
      <c r="V70" s="8" t="s">
        <v>756</v>
      </c>
      <c r="W70" s="8" t="s">
        <v>757</v>
      </c>
      <c r="X70" s="8" t="s">
        <v>169</v>
      </c>
      <c r="Y70" s="8">
        <v>68</v>
      </c>
      <c r="Z70" s="8">
        <v>22</v>
      </c>
      <c r="AA70" s="8">
        <v>68</v>
      </c>
      <c r="AB70" s="8">
        <v>22</v>
      </c>
      <c r="AC70" s="8">
        <v>180</v>
      </c>
      <c r="AD70" s="8"/>
      <c r="AE70" s="8"/>
      <c r="AF70" s="8"/>
      <c r="AG70" s="8"/>
      <c r="AH70" s="8"/>
      <c r="AI70" s="8"/>
      <c r="AJ70" s="8"/>
      <c r="AK70" s="8"/>
      <c r="AL70" s="8" t="s">
        <v>236</v>
      </c>
      <c r="AM70" s="8" t="s">
        <v>171</v>
      </c>
      <c r="AN70" s="8" t="s">
        <v>742</v>
      </c>
      <c r="AO70" s="8">
        <v>0</v>
      </c>
      <c r="AP70" s="8">
        <v>3.6299999999999999E-2</v>
      </c>
      <c r="AQ70" s="8" t="s">
        <v>758</v>
      </c>
      <c r="AR70" s="8">
        <v>1</v>
      </c>
      <c r="AS70" s="8">
        <v>0.1203</v>
      </c>
      <c r="AT70" s="8" t="s">
        <v>744</v>
      </c>
      <c r="AU70" s="8" t="s">
        <v>18</v>
      </c>
      <c r="AV70" s="8" t="s">
        <v>9</v>
      </c>
    </row>
    <row r="71" spans="1:48" ht="22.5" customHeight="1">
      <c r="A71" s="8" t="s">
        <v>150</v>
      </c>
      <c r="B71" t="s">
        <v>759</v>
      </c>
      <c r="C71" s="9" t="s">
        <v>734</v>
      </c>
      <c r="D71" s="9">
        <v>2014</v>
      </c>
      <c r="E71" s="9" t="s">
        <v>734</v>
      </c>
      <c r="F71" s="31" t="s">
        <v>735</v>
      </c>
      <c r="G71" s="8" t="s">
        <v>154</v>
      </c>
      <c r="H71" s="8" t="s">
        <v>375</v>
      </c>
      <c r="I71" s="8" t="s">
        <v>205</v>
      </c>
      <c r="J71" s="8" t="s">
        <v>157</v>
      </c>
      <c r="K71" s="8" t="s">
        <v>158</v>
      </c>
      <c r="L71" s="8" t="s">
        <v>159</v>
      </c>
      <c r="M71" s="8" t="s">
        <v>208</v>
      </c>
      <c r="N71" s="8" t="s">
        <v>760</v>
      </c>
      <c r="O71" s="8" t="s">
        <v>162</v>
      </c>
      <c r="P71" s="8" t="s">
        <v>18</v>
      </c>
      <c r="Q71" s="8" t="s">
        <v>163</v>
      </c>
      <c r="R71" s="8" t="s">
        <v>164</v>
      </c>
      <c r="S71" s="8" t="s">
        <v>761</v>
      </c>
      <c r="T71" s="8" t="s">
        <v>738</v>
      </c>
      <c r="U71" s="8" t="s">
        <v>762</v>
      </c>
      <c r="V71" s="8" t="s">
        <v>763</v>
      </c>
      <c r="W71" s="8" t="s">
        <v>764</v>
      </c>
      <c r="X71" s="8" t="s">
        <v>169</v>
      </c>
      <c r="Y71" s="8">
        <v>66</v>
      </c>
      <c r="Z71" s="8">
        <v>24</v>
      </c>
      <c r="AA71" s="8">
        <v>66</v>
      </c>
      <c r="AB71" s="8">
        <v>24</v>
      </c>
      <c r="AC71" s="8">
        <v>180</v>
      </c>
      <c r="AD71" s="8"/>
      <c r="AE71" s="8"/>
      <c r="AF71" s="8"/>
      <c r="AG71" s="8"/>
      <c r="AH71" s="8"/>
      <c r="AI71" s="8"/>
      <c r="AJ71" s="8"/>
      <c r="AK71" s="8"/>
      <c r="AL71" s="8" t="s">
        <v>236</v>
      </c>
      <c r="AM71" s="8" t="s">
        <v>171</v>
      </c>
      <c r="AN71" s="8" t="s">
        <v>742</v>
      </c>
      <c r="AO71" s="8">
        <v>0</v>
      </c>
      <c r="AP71" s="8">
        <v>3.4200000000000001E-2</v>
      </c>
      <c r="AQ71" s="8" t="s">
        <v>765</v>
      </c>
      <c r="AR71" s="8">
        <v>1</v>
      </c>
      <c r="AS71" s="8">
        <v>0.11360000000000001</v>
      </c>
      <c r="AT71" s="8" t="s">
        <v>744</v>
      </c>
      <c r="AU71" s="8" t="s">
        <v>18</v>
      </c>
      <c r="AV71" s="8" t="s">
        <v>9</v>
      </c>
    </row>
    <row r="72" spans="1:48" ht="22.5" customHeight="1">
      <c r="A72" s="8" t="s">
        <v>150</v>
      </c>
      <c r="B72" t="s">
        <v>766</v>
      </c>
      <c r="C72" s="9" t="s">
        <v>767</v>
      </c>
      <c r="D72" s="9">
        <v>2018</v>
      </c>
      <c r="E72" s="9" t="s">
        <v>768</v>
      </c>
      <c r="F72" s="30" t="s">
        <v>204</v>
      </c>
      <c r="G72" s="8" t="s">
        <v>154</v>
      </c>
      <c r="H72" s="8" t="s">
        <v>155</v>
      </c>
      <c r="I72" s="8" t="s">
        <v>205</v>
      </c>
      <c r="J72" s="8" t="s">
        <v>157</v>
      </c>
      <c r="K72" s="8" t="s">
        <v>206</v>
      </c>
      <c r="L72" s="8" t="s">
        <v>207</v>
      </c>
      <c r="M72" s="8" t="s">
        <v>208</v>
      </c>
      <c r="N72" s="8" t="s">
        <v>769</v>
      </c>
      <c r="O72" s="8" t="s">
        <v>210</v>
      </c>
      <c r="P72" s="8" t="s">
        <v>9</v>
      </c>
      <c r="Q72" s="8" t="s">
        <v>163</v>
      </c>
      <c r="R72" s="8" t="s">
        <v>273</v>
      </c>
      <c r="S72" s="8" t="s">
        <v>770</v>
      </c>
      <c r="T72" s="8" t="s">
        <v>771</v>
      </c>
      <c r="U72" s="8" t="s">
        <v>772</v>
      </c>
      <c r="V72" s="8" t="s">
        <v>773</v>
      </c>
      <c r="W72" s="8" t="s">
        <v>774</v>
      </c>
      <c r="X72" s="8" t="s">
        <v>178</v>
      </c>
      <c r="Y72" s="8">
        <v>13</v>
      </c>
      <c r="Z72" s="8">
        <v>7</v>
      </c>
      <c r="AA72" s="8">
        <v>17</v>
      </c>
      <c r="AB72" s="8">
        <v>3</v>
      </c>
      <c r="AC72" s="8">
        <v>20</v>
      </c>
      <c r="AD72" s="8"/>
      <c r="AE72" s="8"/>
      <c r="AF72" s="8"/>
      <c r="AG72" s="8"/>
      <c r="AH72" s="8"/>
      <c r="AI72" s="8"/>
      <c r="AJ72" s="8"/>
      <c r="AK72" s="8"/>
      <c r="AL72" s="8" t="s">
        <v>236</v>
      </c>
      <c r="AM72" s="8" t="s">
        <v>171</v>
      </c>
      <c r="AN72" s="8" t="s">
        <v>775</v>
      </c>
      <c r="AO72" s="8">
        <v>-0.59050000000000002</v>
      </c>
      <c r="AP72" s="8">
        <v>0.1714</v>
      </c>
      <c r="AQ72" s="8" t="s">
        <v>776</v>
      </c>
      <c r="AR72" s="8">
        <v>0.32769999999999999</v>
      </c>
      <c r="AS72" s="8">
        <v>0.6119</v>
      </c>
      <c r="AT72" s="8" t="s">
        <v>777</v>
      </c>
      <c r="AU72" s="8" t="s">
        <v>18</v>
      </c>
      <c r="AV72" s="8" t="s">
        <v>9</v>
      </c>
    </row>
    <row r="73" spans="1:48" ht="22.5" customHeight="1">
      <c r="A73" s="8" t="s">
        <v>150</v>
      </c>
      <c r="B73" t="s">
        <v>778</v>
      </c>
      <c r="C73" s="9" t="s">
        <v>767</v>
      </c>
      <c r="D73" s="9">
        <v>2018</v>
      </c>
      <c r="E73" s="9" t="s">
        <v>768</v>
      </c>
      <c r="F73" s="30" t="s">
        <v>204</v>
      </c>
      <c r="G73" s="8" t="s">
        <v>154</v>
      </c>
      <c r="H73" s="8" t="s">
        <v>176</v>
      </c>
      <c r="I73" s="8" t="s">
        <v>205</v>
      </c>
      <c r="J73" s="8" t="s">
        <v>157</v>
      </c>
      <c r="K73" s="8" t="s">
        <v>206</v>
      </c>
      <c r="L73" s="8" t="s">
        <v>207</v>
      </c>
      <c r="M73" s="8" t="s">
        <v>208</v>
      </c>
      <c r="N73" s="8" t="s">
        <v>779</v>
      </c>
      <c r="O73" s="8" t="s">
        <v>162</v>
      </c>
      <c r="P73" s="8" t="s">
        <v>9</v>
      </c>
      <c r="Q73" s="8" t="s">
        <v>163</v>
      </c>
      <c r="R73" s="8" t="s">
        <v>273</v>
      </c>
      <c r="S73" s="8" t="s">
        <v>780</v>
      </c>
      <c r="T73" s="8" t="s">
        <v>771</v>
      </c>
      <c r="U73" s="8" t="s">
        <v>781</v>
      </c>
      <c r="V73" s="8" t="s">
        <v>782</v>
      </c>
      <c r="W73" s="8" t="s">
        <v>783</v>
      </c>
      <c r="X73" s="8" t="s">
        <v>178</v>
      </c>
      <c r="Y73" s="8">
        <v>16</v>
      </c>
      <c r="Z73" s="8">
        <v>4</v>
      </c>
      <c r="AA73" s="8">
        <v>13</v>
      </c>
      <c r="AB73" s="8">
        <v>7</v>
      </c>
      <c r="AC73" s="8">
        <v>20</v>
      </c>
      <c r="AD73" s="8"/>
      <c r="AE73" s="8"/>
      <c r="AF73" s="8"/>
      <c r="AG73" s="8"/>
      <c r="AH73" s="8"/>
      <c r="AI73" s="8"/>
      <c r="AJ73" s="8"/>
      <c r="AK73" s="8"/>
      <c r="AL73" s="8" t="s">
        <v>236</v>
      </c>
      <c r="AM73" s="8" t="s">
        <v>171</v>
      </c>
      <c r="AN73" s="8" t="s">
        <v>784</v>
      </c>
      <c r="AO73" s="8">
        <v>0.40610000000000002</v>
      </c>
      <c r="AP73" s="8">
        <v>0.14910000000000001</v>
      </c>
      <c r="AQ73" s="8" t="s">
        <v>785</v>
      </c>
      <c r="AR73" s="8">
        <v>2.1537999999999999</v>
      </c>
      <c r="AS73" s="8">
        <v>0.5323</v>
      </c>
      <c r="AT73" s="8" t="s">
        <v>777</v>
      </c>
      <c r="AU73" s="8" t="s">
        <v>18</v>
      </c>
      <c r="AV73" s="8" t="s">
        <v>9</v>
      </c>
    </row>
    <row r="74" spans="1:48" ht="22.5" customHeight="1">
      <c r="A74" s="8" t="s">
        <v>150</v>
      </c>
      <c r="B74" t="s">
        <v>786</v>
      </c>
      <c r="C74" s="18" t="s">
        <v>787</v>
      </c>
      <c r="D74" s="9">
        <v>2025</v>
      </c>
      <c r="E74" s="9" t="s">
        <v>788</v>
      </c>
      <c r="F74" s="30" t="s">
        <v>296</v>
      </c>
      <c r="AM74" s="8"/>
      <c r="AN74" s="8" t="s">
        <v>789</v>
      </c>
      <c r="AU74" s="8" t="s">
        <v>18</v>
      </c>
      <c r="AV74" s="8" t="s">
        <v>18</v>
      </c>
    </row>
    <row r="75" spans="1:48" ht="22.5" customHeight="1">
      <c r="A75" s="8" t="s">
        <v>150</v>
      </c>
      <c r="B75" t="s">
        <v>790</v>
      </c>
      <c r="C75" s="18" t="s">
        <v>791</v>
      </c>
      <c r="D75" s="9">
        <v>2009</v>
      </c>
      <c r="E75" s="9" t="s">
        <v>792</v>
      </c>
      <c r="F75" s="31" t="s">
        <v>204</v>
      </c>
      <c r="AM75" s="8"/>
      <c r="AN75" s="8" t="s">
        <v>793</v>
      </c>
      <c r="AU75" s="8" t="s">
        <v>18</v>
      </c>
      <c r="AV75" s="8" t="s">
        <v>18</v>
      </c>
    </row>
    <row r="76" spans="1:48" ht="22.5" customHeight="1">
      <c r="A76" s="8" t="s">
        <v>150</v>
      </c>
      <c r="B76" t="s">
        <v>794</v>
      </c>
      <c r="C76" s="9" t="s">
        <v>795</v>
      </c>
      <c r="D76" s="9">
        <v>2012</v>
      </c>
      <c r="E76" s="9" t="s">
        <v>796</v>
      </c>
      <c r="F76" s="30" t="s">
        <v>204</v>
      </c>
      <c r="G76" s="8" t="s">
        <v>154</v>
      </c>
      <c r="H76" s="8" t="s">
        <v>155</v>
      </c>
      <c r="I76" s="8" t="s">
        <v>205</v>
      </c>
      <c r="J76" s="8" t="s">
        <v>157</v>
      </c>
      <c r="K76" s="8" t="s">
        <v>206</v>
      </c>
      <c r="L76" s="8" t="s">
        <v>207</v>
      </c>
      <c r="M76" s="8" t="s">
        <v>160</v>
      </c>
      <c r="N76" s="8" t="s">
        <v>797</v>
      </c>
      <c r="O76" s="8" t="s">
        <v>210</v>
      </c>
      <c r="P76" s="8" t="s">
        <v>9</v>
      </c>
      <c r="Q76" s="8" t="s">
        <v>163</v>
      </c>
      <c r="R76" s="8" t="s">
        <v>193</v>
      </c>
      <c r="S76" s="8" t="s">
        <v>798</v>
      </c>
      <c r="T76" s="8" t="s">
        <v>799</v>
      </c>
      <c r="V76" s="8" t="s">
        <v>800</v>
      </c>
      <c r="W76" s="8" t="s">
        <v>801</v>
      </c>
      <c r="X76" s="8" t="s">
        <v>169</v>
      </c>
      <c r="Y76" s="8">
        <v>29</v>
      </c>
      <c r="Z76" s="8">
        <v>30</v>
      </c>
      <c r="AA76" s="8" t="s">
        <v>196</v>
      </c>
      <c r="AB76" s="8" t="s">
        <v>196</v>
      </c>
      <c r="AC76" s="8">
        <v>59</v>
      </c>
      <c r="AD76" s="8">
        <v>16</v>
      </c>
      <c r="AE76" s="8">
        <v>10.95</v>
      </c>
      <c r="AF76" s="8">
        <v>2</v>
      </c>
      <c r="AG76" s="8">
        <v>30</v>
      </c>
      <c r="AH76" s="8">
        <v>26</v>
      </c>
      <c r="AI76" s="8">
        <v>32.31</v>
      </c>
      <c r="AJ76" s="8">
        <v>6</v>
      </c>
      <c r="AK76" s="8">
        <v>29</v>
      </c>
      <c r="AL76" s="8" t="s">
        <v>236</v>
      </c>
      <c r="AM76" s="8" t="s">
        <v>216</v>
      </c>
      <c r="AN76" s="8" t="s">
        <v>802</v>
      </c>
      <c r="AO76" s="8">
        <v>0.41189999999999999</v>
      </c>
      <c r="AP76" s="8">
        <v>6.93E-2</v>
      </c>
      <c r="AQ76" s="8" t="s">
        <v>803</v>
      </c>
      <c r="AR76">
        <v>2.1109</v>
      </c>
      <c r="AS76">
        <v>0.22800000000000001</v>
      </c>
      <c r="AT76" t="s">
        <v>804</v>
      </c>
      <c r="AU76" s="8" t="s">
        <v>18</v>
      </c>
      <c r="AV76" s="8" t="s">
        <v>9</v>
      </c>
    </row>
    <row r="77" spans="1:48" ht="22.5" customHeight="1">
      <c r="A77" s="8" t="s">
        <v>150</v>
      </c>
      <c r="B77" t="s">
        <v>805</v>
      </c>
      <c r="C77" s="9" t="s">
        <v>795</v>
      </c>
      <c r="D77" s="9">
        <v>2012</v>
      </c>
      <c r="E77" s="9" t="s">
        <v>796</v>
      </c>
      <c r="F77" s="30" t="s">
        <v>204</v>
      </c>
      <c r="G77" s="8" t="s">
        <v>154</v>
      </c>
      <c r="H77" s="8" t="s">
        <v>176</v>
      </c>
      <c r="I77" s="8" t="s">
        <v>205</v>
      </c>
      <c r="J77" s="8" t="s">
        <v>157</v>
      </c>
      <c r="K77" s="8" t="s">
        <v>206</v>
      </c>
      <c r="L77" s="8" t="s">
        <v>207</v>
      </c>
      <c r="M77" s="8" t="s">
        <v>160</v>
      </c>
      <c r="N77" s="8" t="s">
        <v>797</v>
      </c>
      <c r="O77" s="8" t="s">
        <v>210</v>
      </c>
      <c r="P77" s="8" t="s">
        <v>9</v>
      </c>
      <c r="Q77" s="8" t="s">
        <v>163</v>
      </c>
      <c r="R77" s="8" t="s">
        <v>193</v>
      </c>
      <c r="S77" s="8" t="s">
        <v>806</v>
      </c>
      <c r="T77" s="8" t="s">
        <v>799</v>
      </c>
      <c r="V77" s="8" t="s">
        <v>807</v>
      </c>
      <c r="W77" s="8" t="s">
        <v>808</v>
      </c>
      <c r="X77" s="8" t="s">
        <v>169</v>
      </c>
      <c r="Y77" s="8">
        <v>29</v>
      </c>
      <c r="Z77" s="8">
        <v>30</v>
      </c>
      <c r="AA77" s="8" t="s">
        <v>196</v>
      </c>
      <c r="AB77" s="8" t="s">
        <v>196</v>
      </c>
      <c r="AC77" s="8">
        <v>59</v>
      </c>
      <c r="AD77" s="8">
        <v>8</v>
      </c>
      <c r="AE77" s="8">
        <v>10.95</v>
      </c>
      <c r="AF77" s="8">
        <v>2</v>
      </c>
      <c r="AG77" s="8">
        <v>30</v>
      </c>
      <c r="AH77" s="8">
        <v>10</v>
      </c>
      <c r="AI77" s="8">
        <v>10.77</v>
      </c>
      <c r="AJ77" s="8">
        <v>2</v>
      </c>
      <c r="AK77" s="8">
        <v>29</v>
      </c>
      <c r="AL77" s="8" t="s">
        <v>236</v>
      </c>
      <c r="AM77" s="8" t="s">
        <v>216</v>
      </c>
      <c r="AN77" s="8" t="s">
        <v>802</v>
      </c>
      <c r="AO77" s="8">
        <v>0.1817</v>
      </c>
      <c r="AP77" s="8">
        <v>6.8099999999999994E-2</v>
      </c>
      <c r="AQ77" s="8" t="s">
        <v>803</v>
      </c>
      <c r="AR77">
        <v>1.3904000000000001</v>
      </c>
      <c r="AS77">
        <v>0.224</v>
      </c>
      <c r="AT77" t="s">
        <v>809</v>
      </c>
      <c r="AU77" s="8" t="s">
        <v>18</v>
      </c>
      <c r="AV77" s="8" t="s">
        <v>9</v>
      </c>
    </row>
  </sheetData>
  <conditionalFormatting sqref="AT2:AU77">
    <cfRule type="containsText" dxfId="2" priority="1" operator="containsText" text="Yes">
      <formula>NOT(ISERROR(SEARCH(("Yes"),(AT2))))</formula>
    </cfRule>
    <cfRule type="containsText" dxfId="1" priority="2" operator="containsText" text="No">
      <formula>NOT(ISERROR(SEARCH(("No"),(AT2))))</formula>
    </cfRule>
    <cfRule type="containsBlanks" dxfId="0" priority="3">
      <formula>LEN(TRIM(AT2))=0</formula>
    </cfRule>
  </conditionalFormatting>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4"/>
  <sheetViews>
    <sheetView showGridLines="0" workbookViewId="0"/>
  </sheetViews>
  <sheetFormatPr baseColWidth="10" defaultColWidth="12.6640625" defaultRowHeight="15.75" customHeight="1"/>
  <cols>
    <col min="1" max="1" width="34.5" customWidth="1"/>
    <col min="2" max="2" width="22.1640625" customWidth="1"/>
    <col min="3" max="3" width="27.6640625" customWidth="1"/>
  </cols>
  <sheetData>
    <row r="1" spans="1:3" ht="15.75" customHeight="1">
      <c r="A1" s="20" t="s">
        <v>96</v>
      </c>
      <c r="B1" s="21" t="s">
        <v>810</v>
      </c>
      <c r="C1" s="21" t="s">
        <v>811</v>
      </c>
    </row>
    <row r="2" spans="1:3" ht="15.75" customHeight="1">
      <c r="A2" s="21" t="s">
        <v>169</v>
      </c>
      <c r="B2" s="21">
        <v>28</v>
      </c>
      <c r="C2" s="21">
        <v>20</v>
      </c>
    </row>
    <row r="3" spans="1:3" ht="15.75" customHeight="1">
      <c r="A3" s="21" t="s">
        <v>178</v>
      </c>
      <c r="B3" s="21">
        <v>41</v>
      </c>
      <c r="C3" s="21">
        <v>23</v>
      </c>
    </row>
    <row r="4" spans="1:3" ht="15.75" customHeight="1">
      <c r="A4" s="21" t="s">
        <v>812</v>
      </c>
      <c r="B4" s="21">
        <v>69</v>
      </c>
      <c r="C4" s="21">
        <v>31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C18"/>
  <sheetViews>
    <sheetView showGridLines="0" workbookViewId="0"/>
  </sheetViews>
  <sheetFormatPr baseColWidth="10" defaultColWidth="12.6640625" defaultRowHeight="15.75" customHeight="1"/>
  <cols>
    <col min="1" max="1" width="23.33203125" customWidth="1"/>
  </cols>
  <sheetData>
    <row r="1" spans="1:3" ht="15.75" customHeight="1">
      <c r="A1" s="21" t="s">
        <v>25</v>
      </c>
      <c r="B1" s="21" t="s">
        <v>810</v>
      </c>
      <c r="C1" s="21" t="s">
        <v>811</v>
      </c>
    </row>
    <row r="2" spans="1:3" ht="15.75" customHeight="1">
      <c r="A2" s="21" t="s">
        <v>191</v>
      </c>
      <c r="B2" s="21">
        <v>21</v>
      </c>
      <c r="C2" s="21">
        <v>9</v>
      </c>
    </row>
    <row r="3" spans="1:3" ht="15.75" customHeight="1">
      <c r="A3" s="21" t="s">
        <v>296</v>
      </c>
      <c r="B3" s="21">
        <v>8</v>
      </c>
      <c r="C3" s="21">
        <v>4</v>
      </c>
    </row>
    <row r="4" spans="1:3" ht="15.75" customHeight="1">
      <c r="A4" s="21" t="s">
        <v>414</v>
      </c>
      <c r="B4" s="21">
        <v>7</v>
      </c>
      <c r="C4" s="21">
        <v>2</v>
      </c>
    </row>
    <row r="5" spans="1:3" ht="15.75" customHeight="1">
      <c r="A5" s="21" t="s">
        <v>204</v>
      </c>
      <c r="B5" s="21">
        <v>6</v>
      </c>
      <c r="C5" s="21">
        <v>3</v>
      </c>
    </row>
    <row r="6" spans="1:3" ht="15.75" customHeight="1">
      <c r="A6" s="21" t="s">
        <v>735</v>
      </c>
      <c r="B6" s="21">
        <v>4</v>
      </c>
      <c r="C6" s="21">
        <v>1</v>
      </c>
    </row>
    <row r="7" spans="1:3" ht="15.75" customHeight="1">
      <c r="A7" s="21" t="s">
        <v>662</v>
      </c>
      <c r="B7" s="21">
        <v>4</v>
      </c>
      <c r="C7" s="21">
        <v>1</v>
      </c>
    </row>
    <row r="8" spans="1:3" ht="15.75" customHeight="1">
      <c r="A8" s="21" t="s">
        <v>330</v>
      </c>
      <c r="B8" s="21">
        <v>3</v>
      </c>
      <c r="C8" s="21">
        <v>2</v>
      </c>
    </row>
    <row r="9" spans="1:3" ht="15.75" customHeight="1">
      <c r="A9" s="21" t="s">
        <v>270</v>
      </c>
      <c r="B9" s="21">
        <v>3</v>
      </c>
      <c r="C9" s="21">
        <v>1</v>
      </c>
    </row>
    <row r="10" spans="1:3" ht="15.75" customHeight="1">
      <c r="A10" s="21" t="s">
        <v>319</v>
      </c>
      <c r="B10" s="21">
        <v>2</v>
      </c>
      <c r="C10" s="21">
        <v>2</v>
      </c>
    </row>
    <row r="11" spans="1:3" ht="15.75" customHeight="1">
      <c r="A11" s="21" t="s">
        <v>568</v>
      </c>
      <c r="B11" s="21">
        <v>2</v>
      </c>
      <c r="C11" s="21">
        <v>1</v>
      </c>
    </row>
    <row r="12" spans="1:3" ht="15.75" customHeight="1">
      <c r="A12" s="21" t="s">
        <v>513</v>
      </c>
      <c r="B12" s="21">
        <v>2</v>
      </c>
      <c r="C12" s="21">
        <v>1</v>
      </c>
    </row>
    <row r="13" spans="1:3" ht="15.75" customHeight="1">
      <c r="A13" s="21" t="s">
        <v>526</v>
      </c>
      <c r="B13" s="21">
        <v>2</v>
      </c>
      <c r="C13" s="21">
        <v>1</v>
      </c>
    </row>
    <row r="14" spans="1:3" ht="15.75" customHeight="1">
      <c r="A14" s="21" t="s">
        <v>228</v>
      </c>
      <c r="B14" s="21">
        <v>2</v>
      </c>
      <c r="C14" s="21">
        <v>1</v>
      </c>
    </row>
    <row r="15" spans="1:3" ht="15.75" customHeight="1">
      <c r="A15" s="21" t="s">
        <v>813</v>
      </c>
      <c r="B15" s="21">
        <v>1</v>
      </c>
      <c r="C15" s="21">
        <v>1</v>
      </c>
    </row>
    <row r="16" spans="1:3" ht="15.75" customHeight="1">
      <c r="A16" s="21" t="s">
        <v>814</v>
      </c>
      <c r="B16" s="21">
        <v>1</v>
      </c>
      <c r="C16" s="21">
        <v>1</v>
      </c>
    </row>
    <row r="17" spans="1:3" ht="15.75" customHeight="1">
      <c r="A17" s="21" t="s">
        <v>815</v>
      </c>
      <c r="B17" s="21">
        <v>1</v>
      </c>
      <c r="C17" s="21">
        <v>1</v>
      </c>
    </row>
    <row r="18" spans="1:3" ht="15.75" customHeight="1">
      <c r="A18" s="21" t="s">
        <v>812</v>
      </c>
      <c r="B18" s="21">
        <v>69</v>
      </c>
      <c r="C18" s="21">
        <v>31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37.6640625" customWidth="1"/>
    <col min="2" max="2" width="29" customWidth="1"/>
    <col min="3" max="3" width="37.1640625" customWidth="1"/>
    <col min="4" max="4" width="17.33203125" customWidth="1"/>
    <col min="5" max="5" width="37.6640625" customWidth="1"/>
    <col min="6" max="6" width="27.6640625" customWidth="1"/>
    <col min="7" max="7" width="25.1640625" customWidth="1"/>
    <col min="8" max="8" width="38.1640625" customWidth="1"/>
  </cols>
  <sheetData>
    <row r="1" spans="1:8" ht="22.5" customHeight="1">
      <c r="A1" s="22" t="s">
        <v>816</v>
      </c>
      <c r="B1" s="22" t="s">
        <v>817</v>
      </c>
      <c r="C1" s="22" t="s">
        <v>818</v>
      </c>
      <c r="D1" s="22" t="s">
        <v>819</v>
      </c>
      <c r="E1" s="22" t="s">
        <v>820</v>
      </c>
      <c r="F1" s="22" t="s">
        <v>821</v>
      </c>
      <c r="G1" s="23" t="s">
        <v>822</v>
      </c>
      <c r="H1" s="7" t="s">
        <v>823</v>
      </c>
    </row>
    <row r="2" spans="1:8" ht="22.5" customHeight="1">
      <c r="A2" s="7" t="s">
        <v>189</v>
      </c>
      <c r="B2" s="7" t="s">
        <v>191</v>
      </c>
      <c r="C2" s="7" t="s">
        <v>824</v>
      </c>
      <c r="D2" s="7" t="s">
        <v>825</v>
      </c>
      <c r="E2" s="7" t="s">
        <v>826</v>
      </c>
      <c r="F2" s="7" t="s">
        <v>827</v>
      </c>
      <c r="G2" s="7" t="s">
        <v>828</v>
      </c>
      <c r="H2" s="8" t="s">
        <v>829</v>
      </c>
    </row>
    <row r="3" spans="1:8" ht="22.5" customHeight="1">
      <c r="A3" s="7" t="s">
        <v>830</v>
      </c>
      <c r="B3" s="7" t="s">
        <v>270</v>
      </c>
      <c r="C3" s="7" t="s">
        <v>831</v>
      </c>
      <c r="D3" s="7" t="s">
        <v>825</v>
      </c>
      <c r="E3" s="7" t="s">
        <v>832</v>
      </c>
      <c r="F3" s="7" t="s">
        <v>833</v>
      </c>
      <c r="G3" s="7" t="s">
        <v>828</v>
      </c>
      <c r="H3" s="8" t="s">
        <v>834</v>
      </c>
    </row>
    <row r="4" spans="1:8" ht="22.5" customHeight="1">
      <c r="A4" s="7" t="s">
        <v>795</v>
      </c>
      <c r="B4" s="7" t="s">
        <v>204</v>
      </c>
      <c r="C4" s="7" t="s">
        <v>835</v>
      </c>
      <c r="D4" s="7" t="s">
        <v>825</v>
      </c>
      <c r="E4" s="7" t="s">
        <v>836</v>
      </c>
      <c r="F4" s="7" t="s">
        <v>837</v>
      </c>
      <c r="G4" s="7" t="s">
        <v>828</v>
      </c>
      <c r="H4" s="8" t="s">
        <v>838</v>
      </c>
    </row>
    <row r="5" spans="1:8" ht="22.5" customHeight="1">
      <c r="A5" s="7" t="s">
        <v>291</v>
      </c>
      <c r="B5" s="7" t="s">
        <v>270</v>
      </c>
      <c r="C5" s="7" t="s">
        <v>831</v>
      </c>
      <c r="D5" s="7" t="s">
        <v>825</v>
      </c>
      <c r="E5" s="7" t="s">
        <v>839</v>
      </c>
      <c r="F5" s="7" t="s">
        <v>833</v>
      </c>
      <c r="G5" s="7" t="s">
        <v>828</v>
      </c>
      <c r="H5" s="8" t="s">
        <v>840</v>
      </c>
    </row>
    <row r="6" spans="1:8" ht="22.5" customHeight="1">
      <c r="A6" s="7" t="s">
        <v>469</v>
      </c>
      <c r="B6" s="7" t="s">
        <v>191</v>
      </c>
      <c r="C6" s="7" t="s">
        <v>841</v>
      </c>
      <c r="D6" s="7" t="s">
        <v>825</v>
      </c>
      <c r="E6" s="7" t="s">
        <v>842</v>
      </c>
      <c r="F6" s="7" t="s">
        <v>843</v>
      </c>
      <c r="G6" s="7" t="s">
        <v>828</v>
      </c>
      <c r="H6" s="8" t="s">
        <v>844</v>
      </c>
    </row>
    <row r="7" spans="1:8" ht="22.5" customHeight="1">
      <c r="A7" s="7" t="s">
        <v>845</v>
      </c>
      <c r="B7" s="7" t="s">
        <v>296</v>
      </c>
      <c r="C7" s="7" t="s">
        <v>846</v>
      </c>
      <c r="D7" s="7" t="s">
        <v>825</v>
      </c>
      <c r="E7" s="7" t="s">
        <v>847</v>
      </c>
      <c r="F7" s="7" t="s">
        <v>848</v>
      </c>
      <c r="G7" s="7" t="s">
        <v>828</v>
      </c>
      <c r="H7" s="8" t="s">
        <v>849</v>
      </c>
    </row>
    <row r="8" spans="1:8" ht="22.5" customHeight="1">
      <c r="A8" s="7" t="s">
        <v>387</v>
      </c>
      <c r="B8" s="7" t="s">
        <v>414</v>
      </c>
      <c r="C8" s="7" t="s">
        <v>850</v>
      </c>
      <c r="D8" s="7" t="s">
        <v>851</v>
      </c>
      <c r="E8" s="7" t="s">
        <v>852</v>
      </c>
      <c r="F8" s="7" t="s">
        <v>853</v>
      </c>
      <c r="G8" s="7" t="s">
        <v>828</v>
      </c>
      <c r="H8" s="8" t="s">
        <v>854</v>
      </c>
    </row>
    <row r="9" spans="1:8" ht="22.5" customHeight="1">
      <c r="A9" s="7" t="s">
        <v>660</v>
      </c>
      <c r="B9" s="7" t="s">
        <v>662</v>
      </c>
      <c r="C9" s="7" t="s">
        <v>855</v>
      </c>
      <c r="D9" s="7" t="s">
        <v>851</v>
      </c>
      <c r="E9" s="7" t="s">
        <v>856</v>
      </c>
      <c r="F9" s="7" t="s">
        <v>837</v>
      </c>
      <c r="G9" s="7"/>
    </row>
    <row r="10" spans="1:8" ht="22.5" customHeight="1">
      <c r="A10" s="7" t="s">
        <v>202</v>
      </c>
      <c r="B10" s="7" t="s">
        <v>204</v>
      </c>
      <c r="C10" s="7" t="s">
        <v>835</v>
      </c>
      <c r="D10" s="7" t="s">
        <v>851</v>
      </c>
      <c r="E10" s="7" t="s">
        <v>857</v>
      </c>
      <c r="F10" s="7" t="s">
        <v>837</v>
      </c>
      <c r="G10" s="7"/>
    </row>
    <row r="11" spans="1:8" ht="22.5" customHeight="1">
      <c r="A11" s="7" t="s">
        <v>717</v>
      </c>
      <c r="B11" s="7" t="s">
        <v>296</v>
      </c>
      <c r="C11" s="7" t="s">
        <v>858</v>
      </c>
      <c r="D11" s="7" t="s">
        <v>851</v>
      </c>
      <c r="E11" s="7" t="s">
        <v>859</v>
      </c>
      <c r="F11" s="7" t="s">
        <v>837</v>
      </c>
      <c r="G11" s="7"/>
    </row>
    <row r="12" spans="1:8" ht="22.5" customHeight="1">
      <c r="A12" s="7" t="s">
        <v>728</v>
      </c>
      <c r="B12" s="7" t="s">
        <v>730</v>
      </c>
      <c r="C12" s="7" t="s">
        <v>860</v>
      </c>
      <c r="D12" s="7" t="s">
        <v>861</v>
      </c>
      <c r="E12" s="7" t="s">
        <v>862</v>
      </c>
      <c r="F12" s="7" t="s">
        <v>863</v>
      </c>
      <c r="G12" s="7" t="s">
        <v>828</v>
      </c>
      <c r="H12" s="8" t="s">
        <v>864</v>
      </c>
    </row>
    <row r="13" spans="1:8" ht="22.5" customHeight="1">
      <c r="A13" s="7" t="s">
        <v>339</v>
      </c>
      <c r="B13" s="7" t="s">
        <v>865</v>
      </c>
      <c r="C13" s="7" t="s">
        <v>866</v>
      </c>
      <c r="D13" s="7" t="s">
        <v>861</v>
      </c>
      <c r="E13" s="7" t="s">
        <v>867</v>
      </c>
      <c r="F13" s="7" t="s">
        <v>868</v>
      </c>
      <c r="G13" s="7"/>
    </row>
    <row r="14" spans="1:8" ht="22.5" customHeight="1">
      <c r="A14" s="7" t="s">
        <v>592</v>
      </c>
      <c r="B14" s="7" t="s">
        <v>814</v>
      </c>
      <c r="C14" s="7" t="s">
        <v>869</v>
      </c>
      <c r="D14" s="7" t="s">
        <v>861</v>
      </c>
      <c r="E14" s="7" t="s">
        <v>870</v>
      </c>
      <c r="F14" s="7" t="s">
        <v>871</v>
      </c>
      <c r="G14" s="7"/>
    </row>
    <row r="15" spans="1:8" ht="22.5" customHeight="1">
      <c r="A15" s="7" t="s">
        <v>694</v>
      </c>
      <c r="B15" s="7" t="s">
        <v>872</v>
      </c>
      <c r="C15" s="7" t="s">
        <v>835</v>
      </c>
      <c r="D15" s="7" t="s">
        <v>861</v>
      </c>
      <c r="E15" s="7" t="s">
        <v>873</v>
      </c>
      <c r="F15" s="7" t="s">
        <v>874</v>
      </c>
      <c r="G15" s="7"/>
    </row>
    <row r="16" spans="1:8" ht="22.5" customHeight="1">
      <c r="A16" s="7" t="s">
        <v>305</v>
      </c>
      <c r="B16" s="7" t="s">
        <v>319</v>
      </c>
      <c r="C16" s="7" t="s">
        <v>875</v>
      </c>
      <c r="D16" s="7" t="s">
        <v>861</v>
      </c>
      <c r="E16" s="7" t="s">
        <v>876</v>
      </c>
      <c r="F16" s="7" t="s">
        <v>877</v>
      </c>
      <c r="G16" s="7"/>
    </row>
    <row r="17" spans="1:7" ht="22.5" customHeight="1">
      <c r="A17" s="7" t="s">
        <v>713</v>
      </c>
      <c r="B17" s="7" t="s">
        <v>204</v>
      </c>
      <c r="C17" s="7" t="s">
        <v>835</v>
      </c>
      <c r="D17" s="7" t="s">
        <v>861</v>
      </c>
      <c r="E17" s="7" t="s">
        <v>878</v>
      </c>
      <c r="F17" s="7" t="s">
        <v>871</v>
      </c>
      <c r="G17" s="7"/>
    </row>
    <row r="18" spans="1:7" ht="22.5" customHeight="1">
      <c r="A18" s="7" t="s">
        <v>152</v>
      </c>
      <c r="B18" s="7" t="s">
        <v>191</v>
      </c>
      <c r="C18" s="7" t="s">
        <v>879</v>
      </c>
      <c r="D18" s="7" t="s">
        <v>861</v>
      </c>
      <c r="E18" s="7" t="s">
        <v>880</v>
      </c>
      <c r="F18" s="7" t="s">
        <v>881</v>
      </c>
      <c r="G18" s="7"/>
    </row>
    <row r="19" spans="1:7" ht="22.5" customHeight="1">
      <c r="A19" s="7" t="s">
        <v>791</v>
      </c>
      <c r="B19" s="7" t="s">
        <v>204</v>
      </c>
      <c r="C19" s="7" t="s">
        <v>835</v>
      </c>
      <c r="D19" s="7" t="s">
        <v>861</v>
      </c>
      <c r="E19" s="7" t="s">
        <v>882</v>
      </c>
      <c r="F19" s="7" t="s">
        <v>871</v>
      </c>
      <c r="G19" s="7"/>
    </row>
    <row r="20" spans="1:7" ht="22.5" customHeight="1">
      <c r="A20" s="7" t="s">
        <v>403</v>
      </c>
      <c r="B20" s="7" t="s">
        <v>414</v>
      </c>
      <c r="C20" s="7" t="s">
        <v>850</v>
      </c>
      <c r="D20" s="7" t="s">
        <v>861</v>
      </c>
      <c r="E20" s="7" t="s">
        <v>883</v>
      </c>
      <c r="F20" s="7" t="s">
        <v>868</v>
      </c>
      <c r="G20" s="7"/>
    </row>
    <row r="21" spans="1:7" ht="22.5" customHeight="1">
      <c r="A21" s="7" t="s">
        <v>884</v>
      </c>
      <c r="B21" s="7" t="s">
        <v>191</v>
      </c>
      <c r="C21" s="7" t="s">
        <v>885</v>
      </c>
      <c r="D21" s="7" t="s">
        <v>861</v>
      </c>
      <c r="E21" s="7" t="s">
        <v>886</v>
      </c>
      <c r="F21" s="7" t="s">
        <v>887</v>
      </c>
      <c r="G21" s="7"/>
    </row>
    <row r="22" spans="1:7" ht="22.5" customHeight="1">
      <c r="A22" s="7" t="s">
        <v>888</v>
      </c>
      <c r="B22" s="7" t="s">
        <v>191</v>
      </c>
      <c r="C22" s="7" t="s">
        <v>889</v>
      </c>
      <c r="D22" s="7" t="s">
        <v>861</v>
      </c>
      <c r="E22" s="7" t="s">
        <v>890</v>
      </c>
      <c r="F22" s="7" t="s">
        <v>891</v>
      </c>
      <c r="G22" s="7"/>
    </row>
    <row r="23" spans="1:7" ht="22.5" customHeight="1">
      <c r="A23" s="7" t="s">
        <v>787</v>
      </c>
      <c r="B23" s="7" t="s">
        <v>296</v>
      </c>
      <c r="C23" s="7" t="s">
        <v>892</v>
      </c>
      <c r="D23" s="7" t="s">
        <v>861</v>
      </c>
      <c r="E23" s="7" t="s">
        <v>893</v>
      </c>
      <c r="F23" s="7" t="s">
        <v>894</v>
      </c>
      <c r="G23" s="7"/>
    </row>
    <row r="24" spans="1:7" ht="22.5" customHeight="1">
      <c r="A24" s="7" t="s">
        <v>895</v>
      </c>
      <c r="B24" s="7" t="s">
        <v>296</v>
      </c>
      <c r="C24" s="7" t="s">
        <v>858</v>
      </c>
      <c r="D24" s="7" t="s">
        <v>861</v>
      </c>
      <c r="E24" s="7" t="s">
        <v>896</v>
      </c>
      <c r="F24" s="7" t="s">
        <v>897</v>
      </c>
      <c r="G24" s="7"/>
    </row>
    <row r="25" spans="1:7" ht="22.5" customHeight="1">
      <c r="A25" s="7" t="s">
        <v>632</v>
      </c>
      <c r="B25" s="7" t="s">
        <v>191</v>
      </c>
      <c r="C25" s="7" t="s">
        <v>898</v>
      </c>
      <c r="D25" s="7" t="s">
        <v>861</v>
      </c>
      <c r="E25" s="7" t="s">
        <v>899</v>
      </c>
      <c r="F25" s="7" t="s">
        <v>881</v>
      </c>
      <c r="G25" s="7"/>
    </row>
    <row r="26" spans="1:7" ht="22.5" customHeight="1">
      <c r="A26" s="7" t="s">
        <v>900</v>
      </c>
      <c r="B26" s="7" t="s">
        <v>735</v>
      </c>
      <c r="C26" s="7" t="s">
        <v>889</v>
      </c>
      <c r="D26" s="7" t="s">
        <v>861</v>
      </c>
      <c r="E26" s="7" t="s">
        <v>901</v>
      </c>
      <c r="F26" s="7" t="s">
        <v>902</v>
      </c>
      <c r="G26" s="7"/>
    </row>
    <row r="27" spans="1:7" ht="22.5" customHeight="1">
      <c r="A27" s="7" t="s">
        <v>258</v>
      </c>
      <c r="B27" s="7" t="s">
        <v>815</v>
      </c>
      <c r="C27" s="7" t="s">
        <v>903</v>
      </c>
      <c r="D27" s="7" t="s">
        <v>861</v>
      </c>
      <c r="E27" s="7" t="s">
        <v>904</v>
      </c>
      <c r="F27" s="7" t="s">
        <v>905</v>
      </c>
      <c r="G27" s="7"/>
    </row>
    <row r="28" spans="1:7" ht="22.5" customHeight="1">
      <c r="A28" s="7" t="s">
        <v>621</v>
      </c>
      <c r="B28" s="7" t="s">
        <v>813</v>
      </c>
      <c r="C28" s="7" t="s">
        <v>898</v>
      </c>
      <c r="D28" s="7" t="s">
        <v>861</v>
      </c>
      <c r="E28" s="7" t="s">
        <v>906</v>
      </c>
      <c r="F28" s="7" t="s">
        <v>905</v>
      </c>
      <c r="G28" s="7"/>
    </row>
    <row r="29" spans="1:7" ht="22.5" customHeight="1">
      <c r="A29" s="7" t="s">
        <v>328</v>
      </c>
      <c r="B29" s="7" t="s">
        <v>865</v>
      </c>
      <c r="C29" s="7" t="s">
        <v>866</v>
      </c>
      <c r="D29" s="7" t="s">
        <v>861</v>
      </c>
      <c r="E29" s="7" t="s">
        <v>907</v>
      </c>
      <c r="F29" s="7" t="s">
        <v>908</v>
      </c>
      <c r="G29" s="7"/>
    </row>
    <row r="30" spans="1:7" ht="22.5" customHeight="1">
      <c r="A30" s="7" t="s">
        <v>317</v>
      </c>
      <c r="B30" s="7" t="s">
        <v>909</v>
      </c>
      <c r="C30" s="7" t="s">
        <v>875</v>
      </c>
      <c r="D30" s="7" t="s">
        <v>861</v>
      </c>
      <c r="E30" s="7" t="s">
        <v>910</v>
      </c>
      <c r="F30" s="7" t="s">
        <v>868</v>
      </c>
      <c r="G30" s="7"/>
    </row>
    <row r="31" spans="1:7" ht="22.5" customHeight="1">
      <c r="A31" s="7" t="s">
        <v>354</v>
      </c>
      <c r="B31" s="7" t="s">
        <v>296</v>
      </c>
      <c r="C31" s="7" t="s">
        <v>911</v>
      </c>
      <c r="D31" s="7" t="s">
        <v>861</v>
      </c>
      <c r="E31" s="7" t="s">
        <v>912</v>
      </c>
      <c r="F31" s="7" t="s">
        <v>913</v>
      </c>
      <c r="G31" s="7"/>
    </row>
    <row r="32" spans="1:7" ht="22.5" customHeight="1">
      <c r="A32" s="7" t="s">
        <v>566</v>
      </c>
      <c r="B32" s="7" t="s">
        <v>568</v>
      </c>
      <c r="C32" s="7" t="s">
        <v>914</v>
      </c>
      <c r="D32" s="7" t="s">
        <v>861</v>
      </c>
      <c r="E32" s="7" t="s">
        <v>915</v>
      </c>
      <c r="F32" s="7" t="s">
        <v>874</v>
      </c>
      <c r="G32" s="7"/>
    </row>
    <row r="33" spans="1:8" ht="22.5" customHeight="1">
      <c r="A33" s="7" t="s">
        <v>226</v>
      </c>
      <c r="B33" s="7" t="s">
        <v>228</v>
      </c>
      <c r="C33" s="7" t="s">
        <v>916</v>
      </c>
      <c r="D33" s="7" t="s">
        <v>917</v>
      </c>
      <c r="E33" s="7" t="s">
        <v>918</v>
      </c>
      <c r="F33" s="7" t="s">
        <v>919</v>
      </c>
      <c r="G33" s="7" t="s">
        <v>828</v>
      </c>
      <c r="H33" s="8" t="s">
        <v>920</v>
      </c>
    </row>
    <row r="34" spans="1:8" ht="22.5" customHeight="1">
      <c r="A34" s="7" t="s">
        <v>603</v>
      </c>
      <c r="B34" s="7" t="s">
        <v>191</v>
      </c>
      <c r="C34" s="7" t="s">
        <v>898</v>
      </c>
      <c r="D34" s="7" t="s">
        <v>917</v>
      </c>
      <c r="E34" s="7" t="s">
        <v>921</v>
      </c>
      <c r="F34" s="7" t="s">
        <v>922</v>
      </c>
      <c r="G34" s="7"/>
    </row>
    <row r="35" spans="1:8" ht="22.5" customHeight="1">
      <c r="A35" s="7" t="s">
        <v>767</v>
      </c>
      <c r="B35" s="7" t="s">
        <v>204</v>
      </c>
      <c r="C35" s="7" t="s">
        <v>866</v>
      </c>
      <c r="D35" s="7" t="s">
        <v>917</v>
      </c>
      <c r="E35" s="7" t="s">
        <v>923</v>
      </c>
      <c r="F35" s="7" t="s">
        <v>924</v>
      </c>
      <c r="G35" s="7"/>
    </row>
    <row r="36" spans="1:8" ht="22.5" customHeight="1">
      <c r="A36" s="7" t="s">
        <v>511</v>
      </c>
      <c r="B36" s="7" t="s">
        <v>925</v>
      </c>
      <c r="C36" s="7" t="s">
        <v>926</v>
      </c>
      <c r="D36" s="7" t="s">
        <v>917</v>
      </c>
      <c r="E36" s="7" t="s">
        <v>927</v>
      </c>
      <c r="F36" s="7" t="s">
        <v>928</v>
      </c>
      <c r="G36" s="7"/>
    </row>
    <row r="37" spans="1:8" ht="22.5" customHeight="1">
      <c r="A37" s="7" t="s">
        <v>582</v>
      </c>
      <c r="B37" s="7" t="s">
        <v>191</v>
      </c>
      <c r="C37" s="7" t="s">
        <v>879</v>
      </c>
      <c r="D37" s="7" t="s">
        <v>917</v>
      </c>
      <c r="E37" s="7" t="s">
        <v>929</v>
      </c>
      <c r="F37" s="7" t="s">
        <v>930</v>
      </c>
      <c r="G37" s="7"/>
    </row>
    <row r="38" spans="1:8" ht="22.5" customHeight="1">
      <c r="A38" s="7" t="s">
        <v>539</v>
      </c>
      <c r="B38" s="7" t="s">
        <v>191</v>
      </c>
      <c r="C38" s="7" t="s">
        <v>879</v>
      </c>
      <c r="D38" s="7" t="s">
        <v>917</v>
      </c>
      <c r="E38" s="7" t="s">
        <v>931</v>
      </c>
      <c r="F38" s="7" t="s">
        <v>930</v>
      </c>
      <c r="G38" s="7"/>
    </row>
    <row r="39" spans="1:8" ht="22.5" customHeight="1">
      <c r="A39" s="7"/>
      <c r="B39" s="7"/>
      <c r="C39" s="7"/>
      <c r="D39" s="7"/>
      <c r="E39" s="7"/>
      <c r="F39" s="7"/>
      <c r="G39" s="7"/>
    </row>
    <row r="40" spans="1:8" ht="22.5" customHeight="1">
      <c r="A40" s="7"/>
      <c r="B40" s="7"/>
      <c r="C40" s="7"/>
      <c r="D40" s="7"/>
      <c r="E40" s="7"/>
      <c r="F40" s="7"/>
      <c r="G40" s="7"/>
    </row>
    <row r="41" spans="1:8" ht="22.5" customHeight="1">
      <c r="A41" s="7"/>
      <c r="B41" s="7"/>
      <c r="C41" s="7"/>
      <c r="D41" s="7"/>
      <c r="E41" s="7"/>
      <c r="F41" s="7"/>
      <c r="G41" s="7"/>
    </row>
    <row r="42" spans="1:8" ht="22.5" customHeight="1">
      <c r="A42" s="7"/>
      <c r="B42" s="7"/>
      <c r="C42" s="7"/>
      <c r="D42" s="7"/>
      <c r="E42" s="7"/>
      <c r="F42" s="7"/>
      <c r="G42" s="7"/>
    </row>
    <row r="43" spans="1:8" ht="22.5" customHeight="1">
      <c r="A43" s="7"/>
      <c r="B43" s="7"/>
      <c r="C43" s="7"/>
      <c r="D43" s="7"/>
      <c r="E43" s="7"/>
      <c r="F43" s="7"/>
      <c r="G43" s="7"/>
    </row>
    <row r="44" spans="1:8" ht="22.5" customHeight="1">
      <c r="A44" s="7"/>
      <c r="B44" s="7"/>
      <c r="C44" s="7"/>
      <c r="D44" s="7"/>
      <c r="E44" s="7"/>
      <c r="F44" s="7"/>
      <c r="G44" s="7"/>
    </row>
    <row r="45" spans="1:8" ht="22.5" customHeight="1">
      <c r="A45" s="7"/>
      <c r="B45" s="7"/>
      <c r="C45" s="7"/>
      <c r="D45" s="7"/>
      <c r="E45" s="7"/>
      <c r="F45" s="7"/>
      <c r="G45" s="7"/>
    </row>
    <row r="46" spans="1:8" ht="22.5" customHeight="1">
      <c r="A46" s="7"/>
      <c r="B46" s="7"/>
      <c r="C46" s="7"/>
      <c r="D46" s="7"/>
      <c r="E46" s="7"/>
      <c r="F46" s="7"/>
      <c r="G46" s="7"/>
    </row>
    <row r="47" spans="1:8" ht="22.5" customHeight="1">
      <c r="A47" s="7"/>
      <c r="B47" s="7"/>
      <c r="C47" s="7"/>
      <c r="D47" s="7"/>
      <c r="E47" s="7"/>
      <c r="F47" s="7"/>
      <c r="G47" s="7"/>
    </row>
    <row r="48" spans="1:8" ht="22.5" customHeight="1">
      <c r="A48" s="7"/>
      <c r="B48" s="7"/>
      <c r="C48" s="7"/>
      <c r="D48" s="7"/>
      <c r="E48" s="7"/>
      <c r="F48" s="7"/>
      <c r="G48" s="7"/>
    </row>
    <row r="49" spans="1:7" ht="22.5" customHeight="1">
      <c r="A49" s="7"/>
      <c r="B49" s="7"/>
      <c r="C49" s="7"/>
      <c r="D49" s="7"/>
      <c r="E49" s="7"/>
      <c r="F49" s="7"/>
      <c r="G49" s="7"/>
    </row>
    <row r="50" spans="1:7" ht="22.5" customHeight="1">
      <c r="A50" s="7"/>
      <c r="B50" s="7"/>
      <c r="C50" s="7"/>
      <c r="D50" s="7"/>
      <c r="E50" s="7"/>
      <c r="F50" s="7"/>
      <c r="G50" s="7"/>
    </row>
    <row r="51" spans="1:7" ht="22.5" customHeight="1">
      <c r="A51" s="7"/>
      <c r="B51" s="7"/>
      <c r="C51" s="7"/>
      <c r="D51" s="7"/>
      <c r="E51" s="7"/>
      <c r="F51" s="7"/>
      <c r="G51" s="7"/>
    </row>
    <row r="52" spans="1:7" ht="22.5" customHeight="1">
      <c r="A52" s="7"/>
      <c r="B52" s="7"/>
      <c r="C52" s="7"/>
      <c r="D52" s="7"/>
      <c r="E52" s="7"/>
      <c r="F52" s="7"/>
      <c r="G52" s="7"/>
    </row>
    <row r="53" spans="1:7" ht="22.5" customHeight="1">
      <c r="A53" s="7"/>
      <c r="B53" s="7"/>
      <c r="C53" s="7"/>
      <c r="D53" s="7"/>
      <c r="E53" s="7"/>
      <c r="F53" s="7"/>
      <c r="G53" s="7"/>
    </row>
    <row r="54" spans="1:7" ht="22.5" customHeight="1">
      <c r="A54" s="7"/>
      <c r="B54" s="7"/>
      <c r="C54" s="7"/>
      <c r="D54" s="7"/>
      <c r="E54" s="7"/>
      <c r="F54" s="7"/>
      <c r="G54" s="7"/>
    </row>
    <row r="55" spans="1:7" ht="22.5" customHeight="1">
      <c r="A55" s="7"/>
      <c r="B55" s="7"/>
      <c r="C55" s="7"/>
      <c r="D55" s="7"/>
      <c r="E55" s="7"/>
      <c r="F55" s="7"/>
      <c r="G55" s="7"/>
    </row>
    <row r="56" spans="1:7" ht="22.5" customHeight="1">
      <c r="A56" s="7"/>
      <c r="B56" s="7"/>
      <c r="C56" s="7"/>
      <c r="D56" s="7"/>
      <c r="E56" s="7"/>
      <c r="F56" s="7"/>
      <c r="G56" s="7"/>
    </row>
    <row r="57" spans="1:7" ht="22.5" customHeight="1">
      <c r="A57" s="7"/>
      <c r="B57" s="7"/>
      <c r="C57" s="7"/>
      <c r="D57" s="7"/>
      <c r="E57" s="7"/>
      <c r="F57" s="7"/>
      <c r="G57" s="7"/>
    </row>
    <row r="58" spans="1:7" ht="22.5" customHeight="1">
      <c r="A58" s="7"/>
      <c r="B58" s="7"/>
      <c r="C58" s="7"/>
      <c r="D58" s="7"/>
      <c r="E58" s="7"/>
      <c r="F58" s="7"/>
      <c r="G58" s="7"/>
    </row>
    <row r="59" spans="1:7" ht="22.5" customHeight="1">
      <c r="A59" s="7"/>
      <c r="B59" s="7"/>
      <c r="C59" s="7"/>
      <c r="D59" s="7"/>
      <c r="E59" s="7"/>
      <c r="F59" s="7"/>
      <c r="G59" s="7"/>
    </row>
    <row r="60" spans="1:7" ht="22.5" customHeight="1">
      <c r="A60" s="7"/>
      <c r="B60" s="7"/>
      <c r="C60" s="7"/>
      <c r="D60" s="7"/>
      <c r="E60" s="7"/>
      <c r="F60" s="7"/>
      <c r="G60" s="7"/>
    </row>
    <row r="61" spans="1:7" ht="22.5" customHeight="1">
      <c r="A61" s="7"/>
      <c r="B61" s="7"/>
      <c r="C61" s="7"/>
      <c r="D61" s="7"/>
      <c r="E61" s="7"/>
      <c r="F61" s="7"/>
      <c r="G61" s="7"/>
    </row>
    <row r="62" spans="1:7" ht="22.5" customHeight="1">
      <c r="A62" s="7"/>
      <c r="B62" s="7"/>
      <c r="C62" s="7"/>
      <c r="D62" s="7"/>
      <c r="E62" s="7"/>
      <c r="F62" s="7"/>
      <c r="G62" s="7"/>
    </row>
    <row r="63" spans="1:7" ht="22.5" customHeight="1">
      <c r="A63" s="7"/>
      <c r="B63" s="7"/>
      <c r="C63" s="7"/>
      <c r="D63" s="7"/>
      <c r="E63" s="7"/>
      <c r="F63" s="7"/>
      <c r="G63" s="7"/>
    </row>
    <row r="64" spans="1:7" ht="22.5" customHeight="1">
      <c r="A64" s="7"/>
      <c r="B64" s="7"/>
      <c r="C64" s="7"/>
      <c r="D64" s="7"/>
      <c r="E64" s="7"/>
      <c r="F64" s="7"/>
      <c r="G64" s="7"/>
    </row>
    <row r="65" spans="1:7" ht="22.5" customHeight="1">
      <c r="A65" s="7"/>
      <c r="B65" s="7"/>
      <c r="C65" s="7"/>
      <c r="D65" s="7"/>
      <c r="E65" s="7"/>
      <c r="F65" s="7"/>
      <c r="G65" s="7"/>
    </row>
    <row r="66" spans="1:7" ht="22.5" customHeight="1">
      <c r="A66" s="7"/>
      <c r="B66" s="7"/>
      <c r="C66" s="7"/>
      <c r="D66" s="7"/>
      <c r="E66" s="7"/>
      <c r="F66" s="7"/>
      <c r="G66" s="7"/>
    </row>
    <row r="67" spans="1:7" ht="22.5" customHeight="1">
      <c r="A67" s="7"/>
      <c r="B67" s="7"/>
      <c r="C67" s="7"/>
      <c r="D67" s="7"/>
      <c r="E67" s="7"/>
      <c r="F67" s="7"/>
      <c r="G67" s="7"/>
    </row>
    <row r="68" spans="1:7" ht="22.5" customHeight="1">
      <c r="A68" s="7"/>
      <c r="B68" s="7"/>
      <c r="C68" s="7"/>
      <c r="D68" s="7"/>
      <c r="E68" s="7"/>
      <c r="F68" s="7"/>
      <c r="G68" s="7"/>
    </row>
    <row r="69" spans="1:7" ht="22.5" customHeight="1">
      <c r="A69" s="7"/>
      <c r="B69" s="7"/>
      <c r="C69" s="7"/>
      <c r="D69" s="7"/>
      <c r="E69" s="7"/>
      <c r="F69" s="7"/>
      <c r="G69" s="7"/>
    </row>
    <row r="70" spans="1:7" ht="22.5" customHeight="1">
      <c r="A70" s="7"/>
      <c r="B70" s="7"/>
      <c r="C70" s="7"/>
      <c r="D70" s="7"/>
      <c r="E70" s="7"/>
      <c r="F70" s="7"/>
      <c r="G70" s="7"/>
    </row>
    <row r="71" spans="1:7" ht="22.5" customHeight="1">
      <c r="A71" s="7"/>
      <c r="B71" s="7"/>
      <c r="C71" s="7"/>
      <c r="D71" s="7"/>
      <c r="E71" s="7"/>
      <c r="F71" s="7"/>
      <c r="G71" s="7"/>
    </row>
    <row r="72" spans="1:7" ht="22.5" customHeight="1">
      <c r="A72" s="7"/>
      <c r="B72" s="7"/>
      <c r="C72" s="7"/>
      <c r="D72" s="7"/>
      <c r="E72" s="7"/>
      <c r="F72" s="7"/>
      <c r="G72" s="7"/>
    </row>
    <row r="73" spans="1:7" ht="22.5" customHeight="1">
      <c r="A73" s="7"/>
      <c r="B73" s="7"/>
      <c r="C73" s="7"/>
      <c r="D73" s="7"/>
      <c r="E73" s="7"/>
      <c r="F73" s="7"/>
      <c r="G73" s="7"/>
    </row>
    <row r="74" spans="1:7" ht="22.5" customHeight="1">
      <c r="A74" s="7"/>
      <c r="B74" s="7"/>
      <c r="C74" s="7"/>
      <c r="D74" s="7"/>
      <c r="E74" s="7"/>
      <c r="F74" s="7"/>
      <c r="G74" s="7"/>
    </row>
    <row r="75" spans="1:7" ht="22.5" customHeight="1">
      <c r="A75" s="7"/>
      <c r="B75" s="7"/>
      <c r="C75" s="7"/>
      <c r="D75" s="7"/>
      <c r="E75" s="7"/>
      <c r="F75" s="7"/>
      <c r="G75" s="7"/>
    </row>
    <row r="76" spans="1:7" ht="22.5" customHeight="1">
      <c r="A76" s="7"/>
      <c r="B76" s="7"/>
      <c r="C76" s="7"/>
      <c r="D76" s="7"/>
      <c r="E76" s="7"/>
      <c r="F76" s="7"/>
      <c r="G76" s="7"/>
    </row>
    <row r="77" spans="1:7" ht="22.5" customHeight="1">
      <c r="A77" s="7"/>
      <c r="B77" s="7"/>
      <c r="C77" s="7"/>
      <c r="D77" s="7"/>
      <c r="E77" s="7"/>
      <c r="F77" s="7"/>
      <c r="G77" s="7"/>
    </row>
    <row r="78" spans="1:7" ht="22.5" customHeight="1">
      <c r="A78" s="7"/>
      <c r="B78" s="7"/>
      <c r="C78" s="7"/>
      <c r="D78" s="7"/>
      <c r="E78" s="7"/>
      <c r="F78" s="7"/>
      <c r="G78" s="7"/>
    </row>
    <row r="79" spans="1:7" ht="22.5" customHeight="1">
      <c r="A79" s="7"/>
      <c r="B79" s="7"/>
      <c r="C79" s="7"/>
      <c r="D79" s="7"/>
      <c r="E79" s="7"/>
      <c r="F79" s="7"/>
      <c r="G79" s="7"/>
    </row>
    <row r="80" spans="1:7" ht="22.5" customHeight="1">
      <c r="A80" s="7"/>
      <c r="B80" s="7"/>
      <c r="C80" s="7"/>
      <c r="D80" s="7"/>
      <c r="E80" s="7"/>
      <c r="F80" s="7"/>
      <c r="G80" s="7"/>
    </row>
    <row r="81" spans="1:7" ht="22.5" customHeight="1">
      <c r="A81" s="7"/>
      <c r="B81" s="7"/>
      <c r="C81" s="7"/>
      <c r="D81" s="7"/>
      <c r="E81" s="7"/>
      <c r="F81" s="7"/>
      <c r="G81" s="7"/>
    </row>
    <row r="82" spans="1:7" ht="22.5" customHeight="1">
      <c r="A82" s="7"/>
      <c r="B82" s="7"/>
      <c r="C82" s="7"/>
      <c r="D82" s="7"/>
      <c r="E82" s="7"/>
      <c r="F82" s="7"/>
      <c r="G82" s="7"/>
    </row>
    <row r="83" spans="1:7" ht="22.5" customHeight="1">
      <c r="A83" s="7"/>
      <c r="B83" s="7"/>
      <c r="C83" s="7"/>
      <c r="D83" s="7"/>
      <c r="E83" s="7"/>
      <c r="F83" s="7"/>
      <c r="G83" s="7"/>
    </row>
    <row r="84" spans="1:7" ht="22.5" customHeight="1">
      <c r="A84" s="7"/>
      <c r="B84" s="7"/>
      <c r="C84" s="7"/>
      <c r="D84" s="7"/>
      <c r="E84" s="7"/>
      <c r="F84" s="7"/>
      <c r="G84" s="7"/>
    </row>
    <row r="85" spans="1:7" ht="22.5" customHeight="1">
      <c r="A85" s="7"/>
      <c r="B85" s="7"/>
      <c r="C85" s="7"/>
      <c r="D85" s="7"/>
      <c r="E85" s="7"/>
      <c r="F85" s="7"/>
      <c r="G85" s="7"/>
    </row>
    <row r="86" spans="1:7" ht="22.5" customHeight="1">
      <c r="A86" s="7"/>
      <c r="B86" s="7"/>
      <c r="C86" s="7"/>
      <c r="D86" s="7"/>
      <c r="E86" s="7"/>
      <c r="F86" s="7"/>
      <c r="G86" s="7"/>
    </row>
    <row r="87" spans="1:7" ht="22.5" customHeight="1">
      <c r="A87" s="7"/>
      <c r="B87" s="7"/>
      <c r="C87" s="7"/>
      <c r="D87" s="7"/>
      <c r="E87" s="7"/>
      <c r="F87" s="7"/>
      <c r="G87" s="7"/>
    </row>
    <row r="88" spans="1:7" ht="22.5" customHeight="1">
      <c r="A88" s="7"/>
      <c r="B88" s="7"/>
      <c r="C88" s="7"/>
      <c r="D88" s="7"/>
      <c r="E88" s="7"/>
      <c r="F88" s="7"/>
      <c r="G88" s="7"/>
    </row>
    <row r="89" spans="1:7" ht="22.5" customHeight="1">
      <c r="A89" s="7"/>
      <c r="B89" s="7"/>
      <c r="C89" s="7"/>
      <c r="D89" s="7"/>
      <c r="E89" s="7"/>
      <c r="F89" s="7"/>
      <c r="G89" s="7"/>
    </row>
    <row r="90" spans="1:7" ht="22.5" customHeight="1">
      <c r="A90" s="7"/>
      <c r="B90" s="7"/>
      <c r="C90" s="7"/>
      <c r="D90" s="7"/>
      <c r="E90" s="7"/>
      <c r="F90" s="7"/>
      <c r="G90" s="7"/>
    </row>
    <row r="91" spans="1:7" ht="22.5" customHeight="1">
      <c r="A91" s="7"/>
      <c r="B91" s="7"/>
      <c r="C91" s="7"/>
      <c r="D91" s="7"/>
      <c r="E91" s="7"/>
      <c r="F91" s="7"/>
      <c r="G91" s="7"/>
    </row>
    <row r="92" spans="1:7" ht="22.5" customHeight="1">
      <c r="A92" s="7"/>
      <c r="B92" s="7"/>
      <c r="C92" s="7"/>
      <c r="D92" s="7"/>
      <c r="E92" s="7"/>
      <c r="F92" s="7"/>
      <c r="G92" s="7"/>
    </row>
    <row r="93" spans="1:7" ht="22.5" customHeight="1">
      <c r="A93" s="7"/>
      <c r="B93" s="7"/>
      <c r="C93" s="7"/>
      <c r="D93" s="7"/>
      <c r="E93" s="7"/>
      <c r="F93" s="7"/>
      <c r="G93" s="7"/>
    </row>
    <row r="94" spans="1:7" ht="22.5" customHeight="1">
      <c r="A94" s="7"/>
      <c r="B94" s="7"/>
      <c r="C94" s="7"/>
      <c r="D94" s="7"/>
      <c r="E94" s="7"/>
      <c r="F94" s="7"/>
      <c r="G94" s="7"/>
    </row>
    <row r="95" spans="1:7" ht="22.5" customHeight="1">
      <c r="A95" s="7"/>
      <c r="B95" s="7"/>
      <c r="C95" s="7"/>
      <c r="D95" s="7"/>
      <c r="E95" s="7"/>
      <c r="F95" s="7"/>
      <c r="G95" s="7"/>
    </row>
    <row r="96" spans="1:7" ht="22.5" customHeight="1">
      <c r="A96" s="7"/>
      <c r="B96" s="7"/>
      <c r="C96" s="7"/>
      <c r="D96" s="7"/>
      <c r="E96" s="7"/>
      <c r="F96" s="7"/>
      <c r="G96" s="7"/>
    </row>
    <row r="97" spans="1:7" ht="22.5" customHeight="1">
      <c r="A97" s="7"/>
      <c r="B97" s="7"/>
      <c r="C97" s="7"/>
      <c r="D97" s="7"/>
      <c r="E97" s="7"/>
      <c r="F97" s="7"/>
      <c r="G97" s="7"/>
    </row>
    <row r="98" spans="1:7" ht="22.5" customHeight="1">
      <c r="A98" s="7"/>
      <c r="B98" s="7"/>
      <c r="C98" s="7"/>
      <c r="D98" s="7"/>
      <c r="E98" s="7"/>
      <c r="F98" s="7"/>
      <c r="G98" s="7"/>
    </row>
    <row r="99" spans="1:7" ht="22.5" customHeight="1">
      <c r="A99" s="7"/>
      <c r="B99" s="7"/>
      <c r="C99" s="7"/>
      <c r="D99" s="7"/>
      <c r="E99" s="7"/>
      <c r="F99" s="7"/>
      <c r="G99" s="7"/>
    </row>
    <row r="100" spans="1:7" ht="22.5" customHeight="1">
      <c r="A100" s="7"/>
      <c r="B100" s="7"/>
      <c r="C100" s="7"/>
      <c r="D100" s="7"/>
      <c r="E100" s="7"/>
      <c r="F100" s="7"/>
      <c r="G100" s="7"/>
    </row>
    <row r="101" spans="1:7" ht="22.5" customHeight="1">
      <c r="A101" s="7"/>
      <c r="B101" s="7"/>
      <c r="C101" s="7"/>
      <c r="D101" s="7"/>
      <c r="E101" s="7"/>
      <c r="F101" s="7"/>
      <c r="G101" s="7"/>
    </row>
    <row r="102" spans="1:7" ht="22.5" customHeight="1">
      <c r="A102" s="7"/>
      <c r="B102" s="7"/>
      <c r="C102" s="7"/>
      <c r="D102" s="7"/>
      <c r="E102" s="7"/>
      <c r="F102" s="7"/>
      <c r="G102" s="7"/>
    </row>
    <row r="103" spans="1:7" ht="22.5" customHeight="1">
      <c r="A103" s="7"/>
      <c r="B103" s="7"/>
      <c r="C103" s="7"/>
      <c r="D103" s="7"/>
      <c r="E103" s="7"/>
      <c r="F103" s="7"/>
      <c r="G103" s="7"/>
    </row>
    <row r="104" spans="1:7" ht="22.5" customHeight="1">
      <c r="A104" s="7"/>
      <c r="B104" s="7"/>
      <c r="C104" s="7"/>
      <c r="D104" s="7"/>
      <c r="E104" s="7"/>
      <c r="F104" s="7"/>
      <c r="G104" s="7"/>
    </row>
    <row r="105" spans="1:7" ht="22.5" customHeight="1">
      <c r="A105" s="7"/>
      <c r="B105" s="7"/>
      <c r="C105" s="7"/>
      <c r="D105" s="7"/>
      <c r="E105" s="7"/>
      <c r="F105" s="7"/>
      <c r="G105" s="7"/>
    </row>
    <row r="106" spans="1:7" ht="22.5" customHeight="1">
      <c r="A106" s="7"/>
      <c r="B106" s="7"/>
      <c r="C106" s="7"/>
      <c r="D106" s="7"/>
      <c r="E106" s="7"/>
      <c r="F106" s="7"/>
      <c r="G106" s="7"/>
    </row>
    <row r="107" spans="1:7" ht="22.5" customHeight="1">
      <c r="A107" s="7"/>
      <c r="B107" s="7"/>
      <c r="C107" s="7"/>
      <c r="D107" s="7"/>
      <c r="E107" s="7"/>
      <c r="F107" s="7"/>
      <c r="G107" s="7"/>
    </row>
    <row r="108" spans="1:7" ht="22.5" customHeight="1">
      <c r="A108" s="7"/>
      <c r="B108" s="7"/>
      <c r="C108" s="7"/>
      <c r="D108" s="7"/>
      <c r="E108" s="7"/>
      <c r="F108" s="7"/>
      <c r="G108" s="7"/>
    </row>
    <row r="109" spans="1:7" ht="22.5" customHeight="1">
      <c r="A109" s="7"/>
      <c r="B109" s="7"/>
      <c r="C109" s="7"/>
      <c r="D109" s="7"/>
      <c r="E109" s="7"/>
      <c r="F109" s="7"/>
      <c r="G109" s="7"/>
    </row>
    <row r="110" spans="1:7" ht="22.5" customHeight="1">
      <c r="A110" s="7"/>
      <c r="B110" s="7"/>
      <c r="C110" s="7"/>
      <c r="D110" s="7"/>
      <c r="E110" s="7"/>
      <c r="F110" s="7"/>
      <c r="G110" s="7"/>
    </row>
    <row r="111" spans="1:7" ht="22.5" customHeight="1">
      <c r="A111" s="7"/>
      <c r="B111" s="7"/>
      <c r="C111" s="7"/>
      <c r="D111" s="7"/>
      <c r="E111" s="7"/>
      <c r="F111" s="7"/>
      <c r="G111" s="7"/>
    </row>
    <row r="112" spans="1:7" ht="22.5" customHeight="1">
      <c r="A112" s="7"/>
      <c r="B112" s="7"/>
      <c r="C112" s="7"/>
      <c r="D112" s="7"/>
      <c r="E112" s="7"/>
      <c r="F112" s="7"/>
      <c r="G112" s="7"/>
    </row>
    <row r="113" spans="1:7" ht="22.5" customHeight="1">
      <c r="A113" s="7"/>
      <c r="B113" s="7"/>
      <c r="C113" s="7"/>
      <c r="D113" s="7"/>
      <c r="E113" s="7"/>
      <c r="F113" s="7"/>
      <c r="G113" s="7"/>
    </row>
    <row r="114" spans="1:7" ht="22.5" customHeight="1">
      <c r="A114" s="7"/>
      <c r="B114" s="7"/>
      <c r="C114" s="7"/>
      <c r="D114" s="7"/>
      <c r="E114" s="7"/>
      <c r="F114" s="7"/>
      <c r="G114" s="7"/>
    </row>
    <row r="115" spans="1:7" ht="22.5" customHeight="1">
      <c r="A115" s="7"/>
      <c r="B115" s="7"/>
      <c r="C115" s="7"/>
      <c r="D115" s="7"/>
      <c r="E115" s="7"/>
      <c r="F115" s="7"/>
      <c r="G115" s="7"/>
    </row>
    <row r="116" spans="1:7" ht="22.5" customHeight="1">
      <c r="A116" s="7"/>
      <c r="B116" s="7"/>
      <c r="C116" s="7"/>
      <c r="D116" s="7"/>
      <c r="E116" s="7"/>
      <c r="F116" s="7"/>
      <c r="G116" s="7"/>
    </row>
    <row r="117" spans="1:7" ht="22.5" customHeight="1">
      <c r="A117" s="7"/>
      <c r="B117" s="7"/>
      <c r="C117" s="7"/>
      <c r="D117" s="7"/>
      <c r="E117" s="7"/>
      <c r="F117" s="7"/>
      <c r="G117" s="7"/>
    </row>
    <row r="118" spans="1:7" ht="22.5" customHeight="1">
      <c r="A118" s="7"/>
      <c r="B118" s="7"/>
      <c r="C118" s="7"/>
      <c r="D118" s="7"/>
      <c r="E118" s="7"/>
      <c r="F118" s="7"/>
      <c r="G118" s="7"/>
    </row>
    <row r="119" spans="1:7" ht="22.5" customHeight="1">
      <c r="A119" s="7"/>
      <c r="B119" s="7"/>
      <c r="C119" s="7"/>
      <c r="D119" s="7"/>
      <c r="E119" s="7"/>
      <c r="F119" s="7"/>
      <c r="G119" s="7"/>
    </row>
    <row r="120" spans="1:7" ht="22.5" customHeight="1">
      <c r="A120" s="7"/>
      <c r="B120" s="7"/>
      <c r="C120" s="7"/>
      <c r="D120" s="7"/>
      <c r="E120" s="7"/>
      <c r="F120" s="7"/>
      <c r="G120" s="7"/>
    </row>
    <row r="121" spans="1:7" ht="22.5" customHeight="1">
      <c r="A121" s="7"/>
      <c r="B121" s="7"/>
      <c r="C121" s="7"/>
      <c r="D121" s="7"/>
      <c r="E121" s="7"/>
      <c r="F121" s="7"/>
      <c r="G121" s="7"/>
    </row>
    <row r="122" spans="1:7" ht="22.5" customHeight="1">
      <c r="A122" s="7"/>
      <c r="B122" s="7"/>
      <c r="C122" s="7"/>
      <c r="D122" s="7"/>
      <c r="E122" s="7"/>
      <c r="F122" s="7"/>
      <c r="G122" s="7"/>
    </row>
    <row r="123" spans="1:7" ht="22.5" customHeight="1">
      <c r="A123" s="7"/>
      <c r="B123" s="7"/>
      <c r="C123" s="7"/>
      <c r="D123" s="7"/>
      <c r="E123" s="7"/>
      <c r="F123" s="7"/>
      <c r="G123" s="7"/>
    </row>
    <row r="124" spans="1:7" ht="22.5" customHeight="1">
      <c r="A124" s="7"/>
      <c r="B124" s="7"/>
      <c r="C124" s="7"/>
      <c r="D124" s="7"/>
      <c r="E124" s="7"/>
      <c r="F124" s="7"/>
      <c r="G124" s="7"/>
    </row>
    <row r="125" spans="1:7" ht="22.5" customHeight="1">
      <c r="A125" s="7"/>
      <c r="B125" s="7"/>
      <c r="C125" s="7"/>
      <c r="D125" s="7"/>
      <c r="E125" s="7"/>
      <c r="F125" s="7"/>
      <c r="G125" s="7"/>
    </row>
    <row r="126" spans="1:7" ht="22.5" customHeight="1">
      <c r="A126" s="7"/>
      <c r="B126" s="7"/>
      <c r="C126" s="7"/>
      <c r="D126" s="7"/>
      <c r="E126" s="7"/>
      <c r="F126" s="7"/>
      <c r="G126" s="7"/>
    </row>
    <row r="127" spans="1:7" ht="22.5" customHeight="1">
      <c r="A127" s="7"/>
      <c r="B127" s="7"/>
      <c r="C127" s="7"/>
      <c r="D127" s="7"/>
      <c r="E127" s="7"/>
      <c r="F127" s="7"/>
      <c r="G127" s="7"/>
    </row>
    <row r="128" spans="1:7" ht="22.5" customHeight="1">
      <c r="A128" s="7"/>
      <c r="B128" s="7"/>
      <c r="C128" s="7"/>
      <c r="D128" s="7"/>
      <c r="E128" s="7"/>
      <c r="F128" s="7"/>
      <c r="G128" s="7"/>
    </row>
    <row r="129" spans="1:7" ht="22.5" customHeight="1">
      <c r="A129" s="7"/>
      <c r="B129" s="7"/>
      <c r="C129" s="7"/>
      <c r="D129" s="7"/>
      <c r="E129" s="7"/>
      <c r="F129" s="7"/>
      <c r="G129" s="7"/>
    </row>
    <row r="130" spans="1:7" ht="22.5" customHeight="1">
      <c r="A130" s="7"/>
      <c r="B130" s="7"/>
      <c r="C130" s="7"/>
      <c r="D130" s="7"/>
      <c r="E130" s="7"/>
      <c r="F130" s="7"/>
      <c r="G130" s="7"/>
    </row>
    <row r="131" spans="1:7" ht="22.5" customHeight="1">
      <c r="A131" s="7"/>
      <c r="B131" s="7"/>
      <c r="C131" s="7"/>
      <c r="D131" s="7"/>
      <c r="E131" s="7"/>
      <c r="F131" s="7"/>
      <c r="G131" s="7"/>
    </row>
    <row r="132" spans="1:7" ht="22.5" customHeight="1">
      <c r="A132" s="7"/>
      <c r="B132" s="7"/>
      <c r="C132" s="7"/>
      <c r="D132" s="7"/>
      <c r="E132" s="7"/>
      <c r="F132" s="7"/>
      <c r="G132" s="7"/>
    </row>
    <row r="133" spans="1:7" ht="22.5" customHeight="1">
      <c r="A133" s="7"/>
      <c r="B133" s="7"/>
      <c r="C133" s="7"/>
      <c r="D133" s="7"/>
      <c r="E133" s="7"/>
      <c r="F133" s="7"/>
      <c r="G133" s="7"/>
    </row>
    <row r="134" spans="1:7" ht="22.5" customHeight="1">
      <c r="A134" s="7"/>
      <c r="B134" s="7"/>
      <c r="C134" s="7"/>
      <c r="D134" s="7"/>
      <c r="E134" s="7"/>
      <c r="F134" s="7"/>
      <c r="G134" s="7"/>
    </row>
    <row r="135" spans="1:7" ht="22.5" customHeight="1">
      <c r="A135" s="7"/>
      <c r="B135" s="7"/>
      <c r="C135" s="7"/>
      <c r="D135" s="7"/>
      <c r="E135" s="7"/>
      <c r="F135" s="7"/>
      <c r="G135" s="7"/>
    </row>
    <row r="136" spans="1:7" ht="22.5" customHeight="1">
      <c r="A136" s="7"/>
      <c r="B136" s="7"/>
      <c r="C136" s="7"/>
      <c r="D136" s="7"/>
      <c r="E136" s="7"/>
      <c r="F136" s="7"/>
      <c r="G136" s="7"/>
    </row>
    <row r="137" spans="1:7" ht="22.5" customHeight="1">
      <c r="A137" s="7"/>
      <c r="B137" s="7"/>
      <c r="C137" s="7"/>
      <c r="D137" s="7"/>
      <c r="E137" s="7"/>
      <c r="F137" s="7"/>
      <c r="G137" s="7"/>
    </row>
    <row r="138" spans="1:7" ht="22.5" customHeight="1">
      <c r="A138" s="7"/>
      <c r="B138" s="7"/>
      <c r="C138" s="7"/>
      <c r="D138" s="7"/>
      <c r="E138" s="7"/>
      <c r="F138" s="7"/>
      <c r="G138" s="7"/>
    </row>
    <row r="139" spans="1:7" ht="22.5" customHeight="1">
      <c r="A139" s="7"/>
      <c r="B139" s="7"/>
      <c r="C139" s="7"/>
      <c r="D139" s="7"/>
      <c r="E139" s="7"/>
      <c r="F139" s="7"/>
      <c r="G139" s="7"/>
    </row>
    <row r="140" spans="1:7" ht="22.5" customHeight="1">
      <c r="A140" s="7"/>
      <c r="B140" s="7"/>
      <c r="C140" s="7"/>
      <c r="D140" s="7"/>
      <c r="E140" s="7"/>
      <c r="F140" s="7"/>
      <c r="G140" s="7"/>
    </row>
    <row r="141" spans="1:7" ht="22.5" customHeight="1">
      <c r="A141" s="7"/>
      <c r="B141" s="7"/>
      <c r="C141" s="7"/>
      <c r="D141" s="7"/>
      <c r="E141" s="7"/>
      <c r="F141" s="7"/>
      <c r="G141" s="7"/>
    </row>
    <row r="142" spans="1:7" ht="22.5" customHeight="1">
      <c r="A142" s="7"/>
      <c r="B142" s="7"/>
      <c r="C142" s="7"/>
      <c r="D142" s="7"/>
      <c r="E142" s="7"/>
      <c r="F142" s="7"/>
      <c r="G142" s="7"/>
    </row>
    <row r="143" spans="1:7" ht="22.5" customHeight="1">
      <c r="A143" s="7"/>
      <c r="B143" s="7"/>
      <c r="C143" s="7"/>
      <c r="D143" s="7"/>
      <c r="E143" s="7"/>
      <c r="F143" s="7"/>
      <c r="G143" s="7"/>
    </row>
    <row r="144" spans="1:7" ht="22.5" customHeight="1">
      <c r="A144" s="7"/>
      <c r="B144" s="7"/>
      <c r="C144" s="7"/>
      <c r="D144" s="7"/>
      <c r="E144" s="7"/>
      <c r="F144" s="7"/>
      <c r="G144" s="7"/>
    </row>
    <row r="145" spans="1:7" ht="22.5" customHeight="1">
      <c r="A145" s="7"/>
      <c r="B145" s="7"/>
      <c r="C145" s="7"/>
      <c r="D145" s="7"/>
      <c r="E145" s="7"/>
      <c r="F145" s="7"/>
      <c r="G145" s="7"/>
    </row>
    <row r="146" spans="1:7" ht="22.5" customHeight="1">
      <c r="A146" s="7"/>
      <c r="B146" s="7"/>
      <c r="C146" s="7"/>
      <c r="D146" s="7"/>
      <c r="E146" s="7"/>
      <c r="F146" s="7"/>
      <c r="G146" s="7"/>
    </row>
    <row r="147" spans="1:7" ht="22.5" customHeight="1">
      <c r="A147" s="7"/>
      <c r="B147" s="7"/>
      <c r="C147" s="7"/>
      <c r="D147" s="7"/>
      <c r="E147" s="7"/>
      <c r="F147" s="7"/>
      <c r="G147" s="7"/>
    </row>
    <row r="148" spans="1:7" ht="22.5" customHeight="1">
      <c r="A148" s="7"/>
      <c r="B148" s="7"/>
      <c r="C148" s="7"/>
      <c r="D148" s="7"/>
      <c r="E148" s="7"/>
      <c r="F148" s="7"/>
      <c r="G148" s="7"/>
    </row>
    <row r="149" spans="1:7" ht="22.5" customHeight="1">
      <c r="A149" s="7"/>
      <c r="B149" s="7"/>
      <c r="C149" s="7"/>
      <c r="D149" s="7"/>
      <c r="E149" s="7"/>
      <c r="F149" s="7"/>
      <c r="G149" s="7"/>
    </row>
    <row r="150" spans="1:7" ht="22.5" customHeight="1">
      <c r="A150" s="7"/>
      <c r="B150" s="7"/>
      <c r="C150" s="7"/>
      <c r="D150" s="7"/>
      <c r="E150" s="7"/>
      <c r="F150" s="7"/>
      <c r="G150" s="7"/>
    </row>
    <row r="151" spans="1:7" ht="22.5" customHeight="1">
      <c r="A151" s="7"/>
      <c r="B151" s="7"/>
      <c r="C151" s="7"/>
      <c r="D151" s="7"/>
      <c r="E151" s="7"/>
      <c r="F151" s="7"/>
      <c r="G151" s="7"/>
    </row>
    <row r="152" spans="1:7" ht="22.5" customHeight="1">
      <c r="A152" s="7"/>
      <c r="B152" s="7"/>
      <c r="C152" s="7"/>
      <c r="D152" s="7"/>
      <c r="E152" s="7"/>
      <c r="F152" s="7"/>
      <c r="G152" s="7"/>
    </row>
    <row r="153" spans="1:7" ht="22.5" customHeight="1">
      <c r="A153" s="7"/>
      <c r="B153" s="7"/>
      <c r="C153" s="7"/>
      <c r="D153" s="7"/>
      <c r="E153" s="7"/>
      <c r="F153" s="7"/>
      <c r="G153" s="7"/>
    </row>
    <row r="154" spans="1:7" ht="22.5" customHeight="1">
      <c r="A154" s="7"/>
      <c r="B154" s="7"/>
      <c r="C154" s="7"/>
      <c r="D154" s="7"/>
      <c r="E154" s="7"/>
      <c r="F154" s="7"/>
      <c r="G154" s="7"/>
    </row>
    <row r="155" spans="1:7" ht="22.5" customHeight="1">
      <c r="A155" s="7"/>
      <c r="B155" s="7"/>
      <c r="C155" s="7"/>
      <c r="D155" s="7"/>
      <c r="E155" s="7"/>
      <c r="F155" s="7"/>
      <c r="G155" s="7"/>
    </row>
    <row r="156" spans="1:7" ht="22.5" customHeight="1">
      <c r="A156" s="7"/>
      <c r="B156" s="7"/>
      <c r="C156" s="7"/>
      <c r="D156" s="7"/>
      <c r="E156" s="7"/>
      <c r="F156" s="7"/>
      <c r="G156" s="7"/>
    </row>
    <row r="157" spans="1:7" ht="22.5" customHeight="1">
      <c r="A157" s="7"/>
      <c r="B157" s="7"/>
      <c r="C157" s="7"/>
      <c r="D157" s="7"/>
      <c r="E157" s="7"/>
      <c r="F157" s="7"/>
      <c r="G157" s="7"/>
    </row>
    <row r="158" spans="1:7" ht="22.5" customHeight="1">
      <c r="A158" s="7"/>
      <c r="B158" s="7"/>
      <c r="C158" s="7"/>
      <c r="D158" s="7"/>
      <c r="E158" s="7"/>
      <c r="F158" s="7"/>
      <c r="G158" s="7"/>
    </row>
    <row r="159" spans="1:7" ht="22.5" customHeight="1">
      <c r="A159" s="7"/>
      <c r="B159" s="7"/>
      <c r="C159" s="7"/>
      <c r="D159" s="7"/>
      <c r="E159" s="7"/>
      <c r="F159" s="7"/>
      <c r="G159" s="7"/>
    </row>
    <row r="160" spans="1:7" ht="22.5" customHeight="1">
      <c r="A160" s="7"/>
      <c r="B160" s="7"/>
      <c r="C160" s="7"/>
      <c r="D160" s="7"/>
      <c r="E160" s="7"/>
      <c r="F160" s="7"/>
      <c r="G160" s="7"/>
    </row>
    <row r="161" spans="1:7" ht="22.5" customHeight="1">
      <c r="A161" s="7"/>
      <c r="B161" s="7"/>
      <c r="C161" s="7"/>
      <c r="D161" s="7"/>
      <c r="E161" s="7"/>
      <c r="F161" s="7"/>
      <c r="G161" s="7"/>
    </row>
    <row r="162" spans="1:7" ht="22.5" customHeight="1">
      <c r="A162" s="7"/>
      <c r="B162" s="7"/>
      <c r="C162" s="7"/>
      <c r="D162" s="7"/>
      <c r="E162" s="7"/>
      <c r="F162" s="7"/>
      <c r="G162" s="7"/>
    </row>
    <row r="163" spans="1:7" ht="22.5" customHeight="1">
      <c r="A163" s="7"/>
      <c r="B163" s="7"/>
      <c r="C163" s="7"/>
      <c r="D163" s="7"/>
      <c r="E163" s="7"/>
      <c r="F163" s="7"/>
      <c r="G163" s="7"/>
    </row>
    <row r="164" spans="1:7" ht="22.5" customHeight="1">
      <c r="A164" s="7"/>
      <c r="B164" s="7"/>
      <c r="C164" s="7"/>
      <c r="D164" s="7"/>
      <c r="E164" s="7"/>
      <c r="F164" s="7"/>
      <c r="G164" s="7"/>
    </row>
    <row r="165" spans="1:7" ht="22.5" customHeight="1">
      <c r="A165" s="7"/>
      <c r="B165" s="7"/>
      <c r="C165" s="7"/>
      <c r="D165" s="7"/>
      <c r="E165" s="7"/>
      <c r="F165" s="7"/>
      <c r="G165" s="7"/>
    </row>
    <row r="166" spans="1:7" ht="22.5" customHeight="1">
      <c r="A166" s="7"/>
      <c r="B166" s="7"/>
      <c r="C166" s="7"/>
      <c r="D166" s="7"/>
      <c r="E166" s="7"/>
      <c r="F166" s="7"/>
      <c r="G166" s="7"/>
    </row>
    <row r="167" spans="1:7" ht="22.5" customHeight="1">
      <c r="A167" s="7"/>
      <c r="B167" s="7"/>
      <c r="C167" s="7"/>
      <c r="D167" s="7"/>
      <c r="E167" s="7"/>
      <c r="F167" s="7"/>
      <c r="G167" s="7"/>
    </row>
    <row r="168" spans="1:7" ht="22.5" customHeight="1">
      <c r="A168" s="7"/>
      <c r="B168" s="7"/>
      <c r="C168" s="7"/>
      <c r="D168" s="7"/>
      <c r="E168" s="7"/>
      <c r="F168" s="7"/>
      <c r="G168" s="7"/>
    </row>
    <row r="169" spans="1:7" ht="22.5" customHeight="1">
      <c r="A169" s="7"/>
      <c r="B169" s="7"/>
      <c r="C169" s="7"/>
      <c r="D169" s="7"/>
      <c r="E169" s="7"/>
      <c r="F169" s="7"/>
      <c r="G169" s="7"/>
    </row>
    <row r="170" spans="1:7" ht="22.5" customHeight="1">
      <c r="A170" s="7"/>
      <c r="B170" s="7"/>
      <c r="C170" s="7"/>
      <c r="D170" s="7"/>
      <c r="E170" s="7"/>
      <c r="F170" s="7"/>
      <c r="G170" s="7"/>
    </row>
    <row r="171" spans="1:7" ht="22.5" customHeight="1">
      <c r="A171" s="7"/>
      <c r="B171" s="7"/>
      <c r="C171" s="7"/>
      <c r="D171" s="7"/>
      <c r="E171" s="7"/>
      <c r="F171" s="7"/>
      <c r="G171" s="7"/>
    </row>
    <row r="172" spans="1:7" ht="22.5" customHeight="1">
      <c r="A172" s="7"/>
      <c r="B172" s="7"/>
      <c r="C172" s="7"/>
      <c r="D172" s="7"/>
      <c r="E172" s="7"/>
      <c r="F172" s="7"/>
      <c r="G172" s="7"/>
    </row>
    <row r="173" spans="1:7" ht="22.5" customHeight="1">
      <c r="A173" s="7"/>
      <c r="B173" s="7"/>
      <c r="C173" s="7"/>
      <c r="D173" s="7"/>
      <c r="E173" s="7"/>
      <c r="F173" s="7"/>
      <c r="G173" s="7"/>
    </row>
    <row r="174" spans="1:7" ht="22.5" customHeight="1">
      <c r="A174" s="7"/>
      <c r="B174" s="7"/>
      <c r="C174" s="7"/>
      <c r="D174" s="7"/>
      <c r="E174" s="7"/>
      <c r="F174" s="7"/>
      <c r="G174" s="7"/>
    </row>
    <row r="175" spans="1:7" ht="22.5" customHeight="1">
      <c r="A175" s="7"/>
      <c r="B175" s="7"/>
      <c r="C175" s="7"/>
      <c r="D175" s="7"/>
      <c r="E175" s="7"/>
      <c r="F175" s="7"/>
      <c r="G175" s="7"/>
    </row>
    <row r="176" spans="1:7" ht="22.5" customHeight="1">
      <c r="A176" s="7"/>
      <c r="B176" s="7"/>
      <c r="C176" s="7"/>
      <c r="D176" s="7"/>
      <c r="E176" s="7"/>
      <c r="F176" s="7"/>
      <c r="G176" s="7"/>
    </row>
    <row r="177" spans="1:7" ht="22.5" customHeight="1">
      <c r="A177" s="7"/>
      <c r="B177" s="7"/>
      <c r="C177" s="7"/>
      <c r="D177" s="7"/>
      <c r="E177" s="7"/>
      <c r="F177" s="7"/>
      <c r="G177" s="7"/>
    </row>
    <row r="178" spans="1:7" ht="22.5" customHeight="1">
      <c r="A178" s="7"/>
      <c r="B178" s="7"/>
      <c r="C178" s="7"/>
      <c r="D178" s="7"/>
      <c r="E178" s="7"/>
      <c r="F178" s="7"/>
      <c r="G178" s="7"/>
    </row>
    <row r="179" spans="1:7" ht="22.5" customHeight="1">
      <c r="A179" s="7"/>
      <c r="B179" s="7"/>
      <c r="C179" s="7"/>
      <c r="D179" s="7"/>
      <c r="E179" s="7"/>
      <c r="F179" s="7"/>
      <c r="G179" s="7"/>
    </row>
    <row r="180" spans="1:7" ht="22.5" customHeight="1">
      <c r="A180" s="7"/>
      <c r="B180" s="7"/>
      <c r="C180" s="7"/>
      <c r="D180" s="7"/>
      <c r="E180" s="7"/>
      <c r="F180" s="7"/>
      <c r="G180" s="7"/>
    </row>
    <row r="181" spans="1:7" ht="22.5" customHeight="1">
      <c r="A181" s="7"/>
      <c r="B181" s="7"/>
      <c r="C181" s="7"/>
      <c r="D181" s="7"/>
      <c r="E181" s="7"/>
      <c r="F181" s="7"/>
      <c r="G181" s="7"/>
    </row>
    <row r="182" spans="1:7" ht="22.5" customHeight="1">
      <c r="A182" s="7"/>
      <c r="B182" s="7"/>
      <c r="C182" s="7"/>
      <c r="D182" s="7"/>
      <c r="E182" s="7"/>
      <c r="F182" s="7"/>
      <c r="G182" s="7"/>
    </row>
    <row r="183" spans="1:7" ht="22.5" customHeight="1">
      <c r="A183" s="7"/>
      <c r="B183" s="7"/>
      <c r="C183" s="7"/>
      <c r="D183" s="7"/>
      <c r="E183" s="7"/>
      <c r="F183" s="7"/>
      <c r="G183" s="7"/>
    </row>
    <row r="184" spans="1:7" ht="22.5" customHeight="1">
      <c r="A184" s="7"/>
      <c r="B184" s="7"/>
      <c r="C184" s="7"/>
      <c r="D184" s="7"/>
      <c r="E184" s="7"/>
      <c r="F184" s="7"/>
      <c r="G184" s="7"/>
    </row>
    <row r="185" spans="1:7" ht="22.5" customHeight="1">
      <c r="A185" s="7"/>
      <c r="B185" s="7"/>
      <c r="C185" s="7"/>
      <c r="D185" s="7"/>
      <c r="E185" s="7"/>
      <c r="F185" s="7"/>
      <c r="G185" s="7"/>
    </row>
    <row r="186" spans="1:7" ht="22.5" customHeight="1">
      <c r="A186" s="7"/>
      <c r="B186" s="7"/>
      <c r="C186" s="7"/>
      <c r="D186" s="7"/>
      <c r="E186" s="7"/>
      <c r="F186" s="7"/>
      <c r="G186" s="7"/>
    </row>
    <row r="187" spans="1:7" ht="22.5" customHeight="1">
      <c r="A187" s="7"/>
      <c r="B187" s="7"/>
      <c r="C187" s="7"/>
      <c r="D187" s="7"/>
      <c r="E187" s="7"/>
      <c r="F187" s="7"/>
      <c r="G187" s="7"/>
    </row>
    <row r="188" spans="1:7" ht="22.5" customHeight="1">
      <c r="A188" s="7"/>
      <c r="B188" s="7"/>
      <c r="C188" s="7"/>
      <c r="D188" s="7"/>
      <c r="E188" s="7"/>
      <c r="F188" s="7"/>
      <c r="G188" s="7"/>
    </row>
    <row r="189" spans="1:7" ht="22.5" customHeight="1">
      <c r="A189" s="7"/>
      <c r="B189" s="7"/>
      <c r="C189" s="7"/>
      <c r="D189" s="7"/>
      <c r="E189" s="7"/>
      <c r="F189" s="7"/>
      <c r="G189" s="7"/>
    </row>
    <row r="190" spans="1:7" ht="22.5" customHeight="1">
      <c r="A190" s="7"/>
      <c r="B190" s="7"/>
      <c r="C190" s="7"/>
      <c r="D190" s="7"/>
      <c r="E190" s="7"/>
      <c r="F190" s="7"/>
      <c r="G190" s="7"/>
    </row>
    <row r="191" spans="1:7" ht="22.5" customHeight="1">
      <c r="A191" s="7"/>
      <c r="B191" s="7"/>
      <c r="C191" s="7"/>
      <c r="D191" s="7"/>
      <c r="E191" s="7"/>
      <c r="F191" s="7"/>
      <c r="G191" s="7"/>
    </row>
    <row r="192" spans="1:7" ht="22.5" customHeight="1">
      <c r="A192" s="7"/>
      <c r="B192" s="7"/>
      <c r="C192" s="7"/>
      <c r="D192" s="7"/>
      <c r="E192" s="7"/>
      <c r="F192" s="7"/>
      <c r="G192" s="7"/>
    </row>
    <row r="193" spans="1:7" ht="22.5" customHeight="1">
      <c r="A193" s="7"/>
      <c r="B193" s="7"/>
      <c r="C193" s="7"/>
      <c r="D193" s="7"/>
      <c r="E193" s="7"/>
      <c r="F193" s="7"/>
      <c r="G193" s="7"/>
    </row>
    <row r="194" spans="1:7" ht="22.5" customHeight="1">
      <c r="A194" s="7"/>
      <c r="B194" s="7"/>
      <c r="C194" s="7"/>
      <c r="D194" s="7"/>
      <c r="E194" s="7"/>
      <c r="F194" s="7"/>
      <c r="G194" s="7"/>
    </row>
    <row r="195" spans="1:7" ht="22.5" customHeight="1">
      <c r="A195" s="7"/>
      <c r="B195" s="7"/>
      <c r="C195" s="7"/>
      <c r="D195" s="7"/>
      <c r="E195" s="7"/>
      <c r="F195" s="7"/>
      <c r="G195" s="7"/>
    </row>
    <row r="196" spans="1:7" ht="22.5" customHeight="1">
      <c r="A196" s="7"/>
      <c r="B196" s="7"/>
      <c r="C196" s="7"/>
      <c r="D196" s="7"/>
      <c r="E196" s="7"/>
      <c r="F196" s="7"/>
      <c r="G196" s="7"/>
    </row>
    <row r="197" spans="1:7" ht="22.5" customHeight="1">
      <c r="A197" s="7"/>
      <c r="B197" s="7"/>
      <c r="C197" s="7"/>
      <c r="D197" s="7"/>
      <c r="E197" s="7"/>
      <c r="F197" s="7"/>
      <c r="G197" s="7"/>
    </row>
    <row r="198" spans="1:7" ht="22.5" customHeight="1">
      <c r="A198" s="7"/>
      <c r="B198" s="7"/>
      <c r="C198" s="7"/>
      <c r="D198" s="7"/>
      <c r="E198" s="7"/>
      <c r="F198" s="7"/>
      <c r="G198" s="7"/>
    </row>
    <row r="199" spans="1:7" ht="22.5" customHeight="1">
      <c r="A199" s="7"/>
      <c r="B199" s="7"/>
      <c r="C199" s="7"/>
      <c r="D199" s="7"/>
      <c r="E199" s="7"/>
      <c r="F199" s="7"/>
      <c r="G199" s="7"/>
    </row>
    <row r="200" spans="1:7" ht="22.5" customHeight="1">
      <c r="A200" s="7"/>
      <c r="B200" s="7"/>
      <c r="C200" s="7"/>
      <c r="D200" s="7"/>
      <c r="E200" s="7"/>
      <c r="F200" s="7"/>
      <c r="G200" s="7"/>
    </row>
    <row r="201" spans="1:7" ht="22.5" customHeight="1">
      <c r="A201" s="7"/>
      <c r="B201" s="7"/>
      <c r="C201" s="7"/>
      <c r="D201" s="7"/>
      <c r="E201" s="7"/>
      <c r="F201" s="7"/>
      <c r="G201" s="7"/>
    </row>
    <row r="202" spans="1:7" ht="22.5" customHeight="1">
      <c r="A202" s="7"/>
      <c r="B202" s="7"/>
      <c r="C202" s="7"/>
      <c r="D202" s="7"/>
      <c r="E202" s="7"/>
      <c r="F202" s="7"/>
      <c r="G202" s="7"/>
    </row>
    <row r="203" spans="1:7" ht="22.5" customHeight="1">
      <c r="A203" s="7"/>
      <c r="B203" s="7"/>
      <c r="C203" s="7"/>
      <c r="D203" s="7"/>
      <c r="E203" s="7"/>
      <c r="F203" s="7"/>
      <c r="G203" s="7"/>
    </row>
    <row r="204" spans="1:7" ht="22.5" customHeight="1">
      <c r="A204" s="7"/>
      <c r="B204" s="7"/>
      <c r="C204" s="7"/>
      <c r="D204" s="7"/>
      <c r="E204" s="7"/>
      <c r="F204" s="7"/>
      <c r="G204" s="7"/>
    </row>
    <row r="205" spans="1:7" ht="22.5" customHeight="1">
      <c r="A205" s="7"/>
      <c r="B205" s="7"/>
      <c r="C205" s="7"/>
      <c r="D205" s="7"/>
      <c r="E205" s="7"/>
      <c r="F205" s="7"/>
      <c r="G205" s="7"/>
    </row>
    <row r="206" spans="1:7" ht="22.5" customHeight="1">
      <c r="A206" s="7"/>
      <c r="B206" s="7"/>
      <c r="C206" s="7"/>
      <c r="D206" s="7"/>
      <c r="E206" s="7"/>
      <c r="F206" s="7"/>
      <c r="G206" s="7"/>
    </row>
    <row r="207" spans="1:7" ht="22.5" customHeight="1">
      <c r="A207" s="7"/>
      <c r="B207" s="7"/>
      <c r="C207" s="7"/>
      <c r="D207" s="7"/>
      <c r="E207" s="7"/>
      <c r="F207" s="7"/>
      <c r="G207" s="7"/>
    </row>
    <row r="208" spans="1:7" ht="22.5" customHeight="1">
      <c r="A208" s="7"/>
      <c r="B208" s="7"/>
      <c r="C208" s="7"/>
      <c r="D208" s="7"/>
      <c r="E208" s="7"/>
      <c r="F208" s="7"/>
      <c r="G208" s="7"/>
    </row>
    <row r="209" spans="1:7" ht="22.5" customHeight="1">
      <c r="A209" s="7"/>
      <c r="B209" s="7"/>
      <c r="C209" s="7"/>
      <c r="D209" s="7"/>
      <c r="E209" s="7"/>
      <c r="F209" s="7"/>
      <c r="G209" s="7"/>
    </row>
    <row r="210" spans="1:7" ht="22.5" customHeight="1">
      <c r="A210" s="7"/>
      <c r="B210" s="7"/>
      <c r="C210" s="7"/>
      <c r="D210" s="7"/>
      <c r="E210" s="7"/>
      <c r="F210" s="7"/>
      <c r="G210" s="7"/>
    </row>
    <row r="211" spans="1:7" ht="22.5" customHeight="1">
      <c r="A211" s="7"/>
      <c r="B211" s="7"/>
      <c r="C211" s="7"/>
      <c r="D211" s="7"/>
      <c r="E211" s="7"/>
      <c r="F211" s="7"/>
      <c r="G211" s="7"/>
    </row>
    <row r="212" spans="1:7" ht="22.5" customHeight="1">
      <c r="A212" s="7"/>
      <c r="B212" s="7"/>
      <c r="C212" s="7"/>
      <c r="D212" s="7"/>
      <c r="E212" s="7"/>
      <c r="F212" s="7"/>
      <c r="G212" s="7"/>
    </row>
    <row r="213" spans="1:7" ht="22.5" customHeight="1">
      <c r="A213" s="7"/>
      <c r="B213" s="7"/>
      <c r="C213" s="7"/>
      <c r="D213" s="7"/>
      <c r="E213" s="7"/>
      <c r="F213" s="7"/>
      <c r="G213" s="7"/>
    </row>
    <row r="214" spans="1:7" ht="22.5" customHeight="1">
      <c r="A214" s="7"/>
      <c r="B214" s="7"/>
      <c r="C214" s="7"/>
      <c r="D214" s="7"/>
      <c r="E214" s="7"/>
      <c r="F214" s="7"/>
      <c r="G214" s="7"/>
    </row>
    <row r="215" spans="1:7" ht="22.5" customHeight="1">
      <c r="A215" s="7"/>
      <c r="B215" s="7"/>
      <c r="C215" s="7"/>
      <c r="D215" s="7"/>
      <c r="E215" s="7"/>
      <c r="F215" s="7"/>
      <c r="G215" s="7"/>
    </row>
    <row r="216" spans="1:7" ht="22.5" customHeight="1">
      <c r="A216" s="7"/>
      <c r="B216" s="7"/>
      <c r="C216" s="7"/>
      <c r="D216" s="7"/>
      <c r="E216" s="7"/>
      <c r="F216" s="7"/>
      <c r="G216" s="7"/>
    </row>
    <row r="217" spans="1:7" ht="22.5" customHeight="1">
      <c r="A217" s="7"/>
      <c r="B217" s="7"/>
      <c r="C217" s="7"/>
      <c r="D217" s="7"/>
      <c r="E217" s="7"/>
      <c r="F217" s="7"/>
      <c r="G217" s="7"/>
    </row>
    <row r="218" spans="1:7" ht="22.5" customHeight="1">
      <c r="A218" s="7"/>
      <c r="B218" s="7"/>
      <c r="C218" s="7"/>
      <c r="D218" s="7"/>
      <c r="E218" s="7"/>
      <c r="F218" s="7"/>
      <c r="G218" s="7"/>
    </row>
    <row r="219" spans="1:7" ht="22.5" customHeight="1">
      <c r="A219" s="7"/>
      <c r="B219" s="7"/>
      <c r="C219" s="7"/>
      <c r="D219" s="7"/>
      <c r="E219" s="7"/>
      <c r="F219" s="7"/>
      <c r="G219" s="7"/>
    </row>
    <row r="220" spans="1:7" ht="22.5" customHeight="1">
      <c r="A220" s="7"/>
      <c r="B220" s="7"/>
      <c r="C220" s="7"/>
      <c r="D220" s="7"/>
      <c r="E220" s="7"/>
      <c r="F220" s="7"/>
      <c r="G220" s="7"/>
    </row>
    <row r="221" spans="1:7" ht="22.5" customHeight="1">
      <c r="A221" s="7"/>
      <c r="B221" s="7"/>
      <c r="C221" s="7"/>
      <c r="D221" s="7"/>
      <c r="E221" s="7"/>
      <c r="F221" s="7"/>
      <c r="G221" s="7"/>
    </row>
    <row r="222" spans="1:7" ht="22.5" customHeight="1">
      <c r="A222" s="7"/>
      <c r="B222" s="7"/>
      <c r="C222" s="7"/>
      <c r="D222" s="7"/>
      <c r="E222" s="7"/>
      <c r="F222" s="7"/>
      <c r="G222" s="7"/>
    </row>
    <row r="223" spans="1:7" ht="22.5" customHeight="1">
      <c r="A223" s="7"/>
      <c r="B223" s="7"/>
      <c r="C223" s="7"/>
      <c r="D223" s="7"/>
      <c r="E223" s="7"/>
      <c r="F223" s="7"/>
      <c r="G223" s="7"/>
    </row>
    <row r="224" spans="1:7" ht="22.5" customHeight="1">
      <c r="A224" s="7"/>
      <c r="B224" s="7"/>
      <c r="C224" s="7"/>
      <c r="D224" s="7"/>
      <c r="E224" s="7"/>
      <c r="F224" s="7"/>
      <c r="G224" s="7"/>
    </row>
    <row r="225" spans="1:7" ht="22.5" customHeight="1">
      <c r="A225" s="7"/>
      <c r="B225" s="7"/>
      <c r="C225" s="7"/>
      <c r="D225" s="7"/>
      <c r="E225" s="7"/>
      <c r="F225" s="7"/>
      <c r="G225" s="7"/>
    </row>
    <row r="226" spans="1:7" ht="22.5" customHeight="1">
      <c r="A226" s="7"/>
      <c r="B226" s="7"/>
      <c r="C226" s="7"/>
      <c r="D226" s="7"/>
      <c r="E226" s="7"/>
      <c r="F226" s="7"/>
      <c r="G226" s="7"/>
    </row>
    <row r="227" spans="1:7" ht="22.5" customHeight="1">
      <c r="A227" s="7"/>
      <c r="B227" s="7"/>
      <c r="C227" s="7"/>
      <c r="D227" s="7"/>
      <c r="E227" s="7"/>
      <c r="F227" s="7"/>
      <c r="G227" s="7"/>
    </row>
    <row r="228" spans="1:7" ht="22.5" customHeight="1">
      <c r="A228" s="7"/>
      <c r="B228" s="7"/>
      <c r="C228" s="7"/>
      <c r="D228" s="7"/>
      <c r="E228" s="7"/>
      <c r="F228" s="7"/>
      <c r="G228" s="7"/>
    </row>
    <row r="229" spans="1:7" ht="22.5" customHeight="1">
      <c r="A229" s="7"/>
      <c r="B229" s="7"/>
      <c r="C229" s="7"/>
      <c r="D229" s="7"/>
      <c r="E229" s="7"/>
      <c r="F229" s="7"/>
      <c r="G229" s="7"/>
    </row>
    <row r="230" spans="1:7" ht="22.5" customHeight="1">
      <c r="A230" s="7"/>
      <c r="B230" s="7"/>
      <c r="C230" s="7"/>
      <c r="D230" s="7"/>
      <c r="E230" s="7"/>
      <c r="F230" s="7"/>
      <c r="G230" s="7"/>
    </row>
    <row r="231" spans="1:7" ht="22.5" customHeight="1">
      <c r="A231" s="7"/>
      <c r="B231" s="7"/>
      <c r="C231" s="7"/>
      <c r="D231" s="7"/>
      <c r="E231" s="7"/>
      <c r="F231" s="7"/>
      <c r="G231" s="7"/>
    </row>
    <row r="232" spans="1:7" ht="22.5" customHeight="1">
      <c r="A232" s="7"/>
      <c r="B232" s="7"/>
      <c r="C232" s="7"/>
      <c r="D232" s="7"/>
      <c r="E232" s="7"/>
      <c r="F232" s="7"/>
      <c r="G232" s="7"/>
    </row>
    <row r="233" spans="1:7" ht="22.5" customHeight="1">
      <c r="A233" s="7"/>
      <c r="B233" s="7"/>
      <c r="C233" s="7"/>
      <c r="D233" s="7"/>
      <c r="E233" s="7"/>
      <c r="F233" s="7"/>
      <c r="G233" s="7"/>
    </row>
    <row r="234" spans="1:7" ht="22.5" customHeight="1">
      <c r="A234" s="7"/>
      <c r="B234" s="7"/>
      <c r="C234" s="7"/>
      <c r="D234" s="7"/>
      <c r="E234" s="7"/>
      <c r="F234" s="7"/>
      <c r="G234" s="7"/>
    </row>
    <row r="235" spans="1:7" ht="22.5" customHeight="1">
      <c r="A235" s="7"/>
      <c r="B235" s="7"/>
      <c r="C235" s="7"/>
      <c r="D235" s="7"/>
      <c r="E235" s="7"/>
      <c r="F235" s="7"/>
      <c r="G235" s="7"/>
    </row>
    <row r="236" spans="1:7" ht="22.5" customHeight="1">
      <c r="A236" s="7"/>
      <c r="B236" s="7"/>
      <c r="C236" s="7"/>
      <c r="D236" s="7"/>
      <c r="E236" s="7"/>
      <c r="F236" s="7"/>
      <c r="G236" s="7"/>
    </row>
    <row r="237" spans="1:7" ht="22.5" customHeight="1">
      <c r="A237" s="7"/>
      <c r="B237" s="7"/>
      <c r="C237" s="7"/>
      <c r="D237" s="7"/>
      <c r="E237" s="7"/>
      <c r="F237" s="7"/>
      <c r="G237" s="7"/>
    </row>
    <row r="238" spans="1:7" ht="22.5" customHeight="1">
      <c r="A238" s="7"/>
      <c r="B238" s="7"/>
      <c r="C238" s="7"/>
      <c r="D238" s="7"/>
      <c r="E238" s="7"/>
      <c r="F238" s="7"/>
      <c r="G238" s="7"/>
    </row>
    <row r="239" spans="1:7" ht="22.5" customHeight="1">
      <c r="A239" s="7"/>
      <c r="B239" s="7"/>
      <c r="C239" s="7"/>
      <c r="D239" s="7"/>
      <c r="E239" s="7"/>
      <c r="F239" s="7"/>
      <c r="G239" s="7"/>
    </row>
    <row r="240" spans="1:7" ht="22.5" customHeight="1">
      <c r="A240" s="7"/>
      <c r="B240" s="7"/>
      <c r="C240" s="7"/>
      <c r="D240" s="7"/>
      <c r="E240" s="7"/>
      <c r="F240" s="7"/>
      <c r="G240" s="7"/>
    </row>
    <row r="241" spans="1:7" ht="22.5" customHeight="1">
      <c r="A241" s="7"/>
      <c r="B241" s="7"/>
      <c r="C241" s="7"/>
      <c r="D241" s="7"/>
      <c r="E241" s="7"/>
      <c r="F241" s="7"/>
      <c r="G241" s="7"/>
    </row>
    <row r="242" spans="1:7" ht="22.5" customHeight="1">
      <c r="A242" s="7"/>
      <c r="B242" s="7"/>
      <c r="C242" s="7"/>
      <c r="D242" s="7"/>
      <c r="E242" s="7"/>
      <c r="F242" s="7"/>
      <c r="G242" s="7"/>
    </row>
    <row r="243" spans="1:7" ht="22.5" customHeight="1">
      <c r="A243" s="7"/>
      <c r="B243" s="7"/>
      <c r="C243" s="7"/>
      <c r="D243" s="7"/>
      <c r="E243" s="7"/>
      <c r="F243" s="7"/>
      <c r="G243" s="7"/>
    </row>
    <row r="244" spans="1:7" ht="22.5" customHeight="1">
      <c r="A244" s="7"/>
      <c r="B244" s="7"/>
      <c r="C244" s="7"/>
      <c r="D244" s="7"/>
      <c r="E244" s="7"/>
      <c r="F244" s="7"/>
      <c r="G244" s="7"/>
    </row>
    <row r="245" spans="1:7" ht="22.5" customHeight="1">
      <c r="A245" s="7"/>
      <c r="B245" s="7"/>
      <c r="C245" s="7"/>
      <c r="D245" s="7"/>
      <c r="E245" s="7"/>
      <c r="F245" s="7"/>
      <c r="G245" s="7"/>
    </row>
    <row r="246" spans="1:7" ht="22.5" customHeight="1">
      <c r="A246" s="7"/>
      <c r="B246" s="7"/>
      <c r="C246" s="7"/>
      <c r="D246" s="7"/>
      <c r="E246" s="7"/>
      <c r="F246" s="7"/>
      <c r="G246" s="7"/>
    </row>
    <row r="247" spans="1:7" ht="22.5" customHeight="1">
      <c r="A247" s="7"/>
      <c r="B247" s="7"/>
      <c r="C247" s="7"/>
      <c r="D247" s="7"/>
      <c r="E247" s="7"/>
      <c r="F247" s="7"/>
      <c r="G247" s="7"/>
    </row>
    <row r="248" spans="1:7" ht="22.5" customHeight="1">
      <c r="A248" s="7"/>
      <c r="B248" s="7"/>
      <c r="C248" s="7"/>
      <c r="D248" s="7"/>
      <c r="E248" s="7"/>
      <c r="F248" s="7"/>
      <c r="G248" s="7"/>
    </row>
    <row r="249" spans="1:7" ht="22.5" customHeight="1">
      <c r="A249" s="7"/>
      <c r="B249" s="7"/>
      <c r="C249" s="7"/>
      <c r="D249" s="7"/>
      <c r="E249" s="7"/>
      <c r="F249" s="7"/>
      <c r="G249" s="7"/>
    </row>
    <row r="250" spans="1:7" ht="22.5" customHeight="1">
      <c r="A250" s="7"/>
      <c r="B250" s="7"/>
      <c r="C250" s="7"/>
      <c r="D250" s="7"/>
      <c r="E250" s="7"/>
      <c r="F250" s="7"/>
      <c r="G250" s="7"/>
    </row>
    <row r="251" spans="1:7" ht="22.5" customHeight="1">
      <c r="A251" s="7"/>
      <c r="B251" s="7"/>
      <c r="C251" s="7"/>
      <c r="D251" s="7"/>
      <c r="E251" s="7"/>
      <c r="F251" s="7"/>
      <c r="G251" s="7"/>
    </row>
    <row r="252" spans="1:7" ht="22.5" customHeight="1">
      <c r="A252" s="7"/>
      <c r="B252" s="7"/>
      <c r="C252" s="7"/>
      <c r="D252" s="7"/>
      <c r="E252" s="7"/>
      <c r="F252" s="7"/>
      <c r="G252" s="7"/>
    </row>
    <row r="253" spans="1:7" ht="22.5" customHeight="1">
      <c r="A253" s="7"/>
      <c r="B253" s="7"/>
      <c r="C253" s="7"/>
      <c r="D253" s="7"/>
      <c r="E253" s="7"/>
      <c r="F253" s="7"/>
      <c r="G253" s="7"/>
    </row>
    <row r="254" spans="1:7" ht="22.5" customHeight="1">
      <c r="A254" s="7"/>
      <c r="B254" s="7"/>
      <c r="C254" s="7"/>
      <c r="D254" s="7"/>
      <c r="E254" s="7"/>
      <c r="F254" s="7"/>
      <c r="G254" s="7"/>
    </row>
    <row r="255" spans="1:7" ht="22.5" customHeight="1">
      <c r="A255" s="7"/>
      <c r="B255" s="7"/>
      <c r="C255" s="7"/>
      <c r="D255" s="7"/>
      <c r="E255" s="7"/>
      <c r="F255" s="7"/>
      <c r="G255" s="7"/>
    </row>
    <row r="256" spans="1:7" ht="22.5" customHeight="1">
      <c r="A256" s="7"/>
      <c r="B256" s="7"/>
      <c r="C256" s="7"/>
      <c r="D256" s="7"/>
      <c r="E256" s="7"/>
      <c r="F256" s="7"/>
      <c r="G256" s="7"/>
    </row>
    <row r="257" spans="1:7" ht="22.5" customHeight="1">
      <c r="A257" s="7"/>
      <c r="B257" s="7"/>
      <c r="C257" s="7"/>
      <c r="D257" s="7"/>
      <c r="E257" s="7"/>
      <c r="F257" s="7"/>
      <c r="G257" s="7"/>
    </row>
    <row r="258" spans="1:7" ht="22.5" customHeight="1">
      <c r="A258" s="7"/>
      <c r="B258" s="7"/>
      <c r="C258" s="7"/>
      <c r="D258" s="7"/>
      <c r="E258" s="7"/>
      <c r="F258" s="7"/>
      <c r="G258" s="7"/>
    </row>
    <row r="259" spans="1:7" ht="22.5" customHeight="1">
      <c r="A259" s="7"/>
      <c r="B259" s="7"/>
      <c r="C259" s="7"/>
      <c r="D259" s="7"/>
      <c r="E259" s="7"/>
      <c r="F259" s="7"/>
      <c r="G259" s="7"/>
    </row>
    <row r="260" spans="1:7" ht="22.5" customHeight="1">
      <c r="A260" s="7"/>
      <c r="B260" s="7"/>
      <c r="C260" s="7"/>
      <c r="D260" s="7"/>
      <c r="E260" s="7"/>
      <c r="F260" s="7"/>
      <c r="G260" s="7"/>
    </row>
    <row r="261" spans="1:7" ht="22.5" customHeight="1">
      <c r="A261" s="7"/>
      <c r="B261" s="7"/>
      <c r="C261" s="7"/>
      <c r="D261" s="7"/>
      <c r="E261" s="7"/>
      <c r="F261" s="7"/>
      <c r="G261" s="7"/>
    </row>
    <row r="262" spans="1:7" ht="22.5" customHeight="1">
      <c r="A262" s="7"/>
      <c r="B262" s="7"/>
      <c r="C262" s="7"/>
      <c r="D262" s="7"/>
      <c r="E262" s="7"/>
      <c r="F262" s="7"/>
      <c r="G262" s="7"/>
    </row>
    <row r="263" spans="1:7" ht="22.5" customHeight="1">
      <c r="A263" s="7"/>
      <c r="B263" s="7"/>
      <c r="C263" s="7"/>
      <c r="D263" s="7"/>
      <c r="E263" s="7"/>
      <c r="F263" s="7"/>
      <c r="G263" s="7"/>
    </row>
    <row r="264" spans="1:7" ht="22.5" customHeight="1">
      <c r="A264" s="7"/>
      <c r="B264" s="7"/>
      <c r="C264" s="7"/>
      <c r="D264" s="7"/>
      <c r="E264" s="7"/>
      <c r="F264" s="7"/>
      <c r="G264" s="7"/>
    </row>
    <row r="265" spans="1:7" ht="22.5" customHeight="1">
      <c r="A265" s="7"/>
      <c r="B265" s="7"/>
      <c r="C265" s="7"/>
      <c r="D265" s="7"/>
      <c r="E265" s="7"/>
      <c r="F265" s="7"/>
      <c r="G265" s="7"/>
    </row>
    <row r="266" spans="1:7" ht="22.5" customHeight="1">
      <c r="A266" s="7"/>
      <c r="B266" s="7"/>
      <c r="C266" s="7"/>
      <c r="D266" s="7"/>
      <c r="E266" s="7"/>
      <c r="F266" s="7"/>
      <c r="G266" s="7"/>
    </row>
    <row r="267" spans="1:7" ht="22.5" customHeight="1">
      <c r="A267" s="7"/>
      <c r="B267" s="7"/>
      <c r="C267" s="7"/>
      <c r="D267" s="7"/>
      <c r="E267" s="7"/>
      <c r="F267" s="7"/>
      <c r="G267" s="7"/>
    </row>
    <row r="268" spans="1:7" ht="22.5" customHeight="1">
      <c r="A268" s="7"/>
      <c r="B268" s="7"/>
      <c r="C268" s="7"/>
      <c r="D268" s="7"/>
      <c r="E268" s="7"/>
      <c r="F268" s="7"/>
      <c r="G268" s="7"/>
    </row>
    <row r="269" spans="1:7" ht="22.5" customHeight="1">
      <c r="A269" s="7"/>
      <c r="B269" s="7"/>
      <c r="C269" s="7"/>
      <c r="D269" s="7"/>
      <c r="E269" s="7"/>
      <c r="F269" s="7"/>
      <c r="G269" s="7"/>
    </row>
    <row r="270" spans="1:7" ht="22.5" customHeight="1">
      <c r="A270" s="7"/>
      <c r="B270" s="7"/>
      <c r="C270" s="7"/>
      <c r="D270" s="7"/>
      <c r="E270" s="7"/>
      <c r="F270" s="7"/>
      <c r="G270" s="7"/>
    </row>
    <row r="271" spans="1:7" ht="22.5" customHeight="1">
      <c r="A271" s="7"/>
      <c r="B271" s="7"/>
      <c r="C271" s="7"/>
      <c r="D271" s="7"/>
      <c r="E271" s="7"/>
      <c r="F271" s="7"/>
      <c r="G271" s="7"/>
    </row>
    <row r="272" spans="1:7" ht="22.5" customHeight="1">
      <c r="A272" s="7"/>
      <c r="B272" s="7"/>
      <c r="C272" s="7"/>
      <c r="D272" s="7"/>
      <c r="E272" s="7"/>
      <c r="F272" s="7"/>
      <c r="G272" s="7"/>
    </row>
    <row r="273" spans="1:7" ht="22.5" customHeight="1">
      <c r="A273" s="7"/>
      <c r="B273" s="7"/>
      <c r="C273" s="7"/>
      <c r="D273" s="7"/>
      <c r="E273" s="7"/>
      <c r="F273" s="7"/>
      <c r="G273" s="7"/>
    </row>
    <row r="274" spans="1:7" ht="22.5" customHeight="1">
      <c r="A274" s="7"/>
      <c r="B274" s="7"/>
      <c r="C274" s="7"/>
      <c r="D274" s="7"/>
      <c r="E274" s="7"/>
      <c r="F274" s="7"/>
      <c r="G274" s="7"/>
    </row>
    <row r="275" spans="1:7" ht="22.5" customHeight="1">
      <c r="A275" s="7"/>
      <c r="B275" s="7"/>
      <c r="C275" s="7"/>
      <c r="D275" s="7"/>
      <c r="E275" s="7"/>
      <c r="F275" s="7"/>
      <c r="G275" s="7"/>
    </row>
    <row r="276" spans="1:7" ht="22.5" customHeight="1">
      <c r="A276" s="7"/>
      <c r="B276" s="7"/>
      <c r="C276" s="7"/>
      <c r="D276" s="7"/>
      <c r="E276" s="7"/>
      <c r="F276" s="7"/>
      <c r="G276" s="7"/>
    </row>
    <row r="277" spans="1:7" ht="22.5" customHeight="1">
      <c r="A277" s="7"/>
      <c r="B277" s="7"/>
      <c r="C277" s="7"/>
      <c r="D277" s="7"/>
      <c r="E277" s="7"/>
      <c r="F277" s="7"/>
      <c r="G277" s="7"/>
    </row>
    <row r="278" spans="1:7" ht="22.5" customHeight="1">
      <c r="A278" s="7"/>
      <c r="B278" s="7"/>
      <c r="C278" s="7"/>
      <c r="D278" s="7"/>
      <c r="E278" s="7"/>
      <c r="F278" s="7"/>
      <c r="G278" s="7"/>
    </row>
    <row r="279" spans="1:7" ht="22.5" customHeight="1">
      <c r="A279" s="7"/>
      <c r="B279" s="7"/>
      <c r="C279" s="7"/>
      <c r="D279" s="7"/>
      <c r="E279" s="7"/>
      <c r="F279" s="7"/>
      <c r="G279" s="7"/>
    </row>
    <row r="280" spans="1:7" ht="22.5" customHeight="1">
      <c r="A280" s="7"/>
      <c r="B280" s="7"/>
      <c r="C280" s="7"/>
      <c r="D280" s="7"/>
      <c r="E280" s="7"/>
      <c r="F280" s="7"/>
      <c r="G280" s="7"/>
    </row>
    <row r="281" spans="1:7" ht="22.5" customHeight="1">
      <c r="A281" s="7"/>
      <c r="B281" s="7"/>
      <c r="C281" s="7"/>
      <c r="D281" s="7"/>
      <c r="E281" s="7"/>
      <c r="F281" s="7"/>
      <c r="G281" s="7"/>
    </row>
    <row r="282" spans="1:7" ht="22.5" customHeight="1">
      <c r="A282" s="7"/>
      <c r="B282" s="7"/>
      <c r="C282" s="7"/>
      <c r="D282" s="7"/>
      <c r="E282" s="7"/>
      <c r="F282" s="7"/>
      <c r="G282" s="7"/>
    </row>
    <row r="283" spans="1:7" ht="22.5" customHeight="1">
      <c r="A283" s="7"/>
      <c r="B283" s="7"/>
      <c r="C283" s="7"/>
      <c r="D283" s="7"/>
      <c r="E283" s="7"/>
      <c r="F283" s="7"/>
      <c r="G283" s="7"/>
    </row>
    <row r="284" spans="1:7" ht="22.5" customHeight="1">
      <c r="A284" s="7"/>
      <c r="B284" s="7"/>
      <c r="C284" s="7"/>
      <c r="D284" s="7"/>
      <c r="E284" s="7"/>
      <c r="F284" s="7"/>
      <c r="G284" s="7"/>
    </row>
    <row r="285" spans="1:7" ht="22.5" customHeight="1">
      <c r="A285" s="7"/>
      <c r="B285" s="7"/>
      <c r="C285" s="7"/>
      <c r="D285" s="7"/>
      <c r="E285" s="7"/>
      <c r="F285" s="7"/>
      <c r="G285" s="7"/>
    </row>
    <row r="286" spans="1:7" ht="22.5" customHeight="1">
      <c r="A286" s="7"/>
      <c r="B286" s="7"/>
      <c r="C286" s="7"/>
      <c r="D286" s="7"/>
      <c r="E286" s="7"/>
      <c r="F286" s="7"/>
      <c r="G286" s="7"/>
    </row>
    <row r="287" spans="1:7" ht="22.5" customHeight="1">
      <c r="A287" s="7"/>
      <c r="B287" s="7"/>
      <c r="C287" s="7"/>
      <c r="D287" s="7"/>
      <c r="E287" s="7"/>
      <c r="F287" s="7"/>
      <c r="G287" s="7"/>
    </row>
    <row r="288" spans="1:7" ht="22.5" customHeight="1">
      <c r="A288" s="7"/>
      <c r="B288" s="7"/>
      <c r="C288" s="7"/>
      <c r="D288" s="7"/>
      <c r="E288" s="7"/>
      <c r="F288" s="7"/>
      <c r="G288" s="7"/>
    </row>
    <row r="289" spans="1:7" ht="22.5" customHeight="1">
      <c r="A289" s="7"/>
      <c r="B289" s="7"/>
      <c r="C289" s="7"/>
      <c r="D289" s="7"/>
      <c r="E289" s="7"/>
      <c r="F289" s="7"/>
      <c r="G289" s="7"/>
    </row>
    <row r="290" spans="1:7" ht="22.5" customHeight="1">
      <c r="A290" s="7"/>
      <c r="B290" s="7"/>
      <c r="C290" s="7"/>
      <c r="D290" s="7"/>
      <c r="E290" s="7"/>
      <c r="F290" s="7"/>
      <c r="G290" s="7"/>
    </row>
    <row r="291" spans="1:7" ht="22.5" customHeight="1">
      <c r="A291" s="7"/>
      <c r="B291" s="7"/>
      <c r="C291" s="7"/>
      <c r="D291" s="7"/>
      <c r="E291" s="7"/>
      <c r="F291" s="7"/>
      <c r="G291" s="7"/>
    </row>
    <row r="292" spans="1:7" ht="22.5" customHeight="1">
      <c r="A292" s="7"/>
      <c r="B292" s="7"/>
      <c r="C292" s="7"/>
      <c r="D292" s="7"/>
      <c r="E292" s="7"/>
      <c r="F292" s="7"/>
      <c r="G292" s="7"/>
    </row>
    <row r="293" spans="1:7" ht="22.5" customHeight="1">
      <c r="A293" s="7"/>
      <c r="B293" s="7"/>
      <c r="C293" s="7"/>
      <c r="D293" s="7"/>
      <c r="E293" s="7"/>
      <c r="F293" s="7"/>
      <c r="G293" s="7"/>
    </row>
    <row r="294" spans="1:7" ht="22.5" customHeight="1">
      <c r="A294" s="7"/>
      <c r="B294" s="7"/>
      <c r="C294" s="7"/>
      <c r="D294" s="7"/>
      <c r="E294" s="7"/>
      <c r="F294" s="7"/>
      <c r="G294" s="7"/>
    </row>
    <row r="295" spans="1:7" ht="22.5" customHeight="1">
      <c r="A295" s="7"/>
      <c r="B295" s="7"/>
      <c r="C295" s="7"/>
      <c r="D295" s="7"/>
      <c r="E295" s="7"/>
      <c r="F295" s="7"/>
      <c r="G295" s="7"/>
    </row>
    <row r="296" spans="1:7" ht="22.5" customHeight="1">
      <c r="A296" s="7"/>
      <c r="B296" s="7"/>
      <c r="C296" s="7"/>
      <c r="D296" s="7"/>
      <c r="E296" s="7"/>
      <c r="F296" s="7"/>
      <c r="G296" s="7"/>
    </row>
    <row r="297" spans="1:7" ht="22.5" customHeight="1">
      <c r="A297" s="7"/>
      <c r="B297" s="7"/>
      <c r="C297" s="7"/>
      <c r="D297" s="7"/>
      <c r="E297" s="7"/>
      <c r="F297" s="7"/>
      <c r="G297" s="7"/>
    </row>
    <row r="298" spans="1:7" ht="22.5" customHeight="1">
      <c r="A298" s="7"/>
      <c r="B298" s="7"/>
      <c r="C298" s="7"/>
      <c r="D298" s="7"/>
      <c r="E298" s="7"/>
      <c r="F298" s="7"/>
      <c r="G298" s="7"/>
    </row>
    <row r="299" spans="1:7" ht="22.5" customHeight="1">
      <c r="A299" s="7"/>
      <c r="B299" s="7"/>
      <c r="C299" s="7"/>
      <c r="D299" s="7"/>
      <c r="E299" s="7"/>
      <c r="F299" s="7"/>
      <c r="G299" s="7"/>
    </row>
    <row r="300" spans="1:7" ht="22.5" customHeight="1">
      <c r="A300" s="7"/>
      <c r="B300" s="7"/>
      <c r="C300" s="7"/>
      <c r="D300" s="7"/>
      <c r="E300" s="7"/>
      <c r="F300" s="7"/>
      <c r="G300" s="7"/>
    </row>
    <row r="301" spans="1:7" ht="22.5" customHeight="1">
      <c r="A301" s="7"/>
      <c r="B301" s="7"/>
      <c r="C301" s="7"/>
      <c r="D301" s="7"/>
      <c r="E301" s="7"/>
      <c r="F301" s="7"/>
      <c r="G301" s="7"/>
    </row>
    <row r="302" spans="1:7" ht="22.5" customHeight="1">
      <c r="A302" s="7"/>
      <c r="B302" s="7"/>
      <c r="C302" s="7"/>
      <c r="D302" s="7"/>
      <c r="E302" s="7"/>
      <c r="F302" s="7"/>
      <c r="G302" s="7"/>
    </row>
    <row r="303" spans="1:7" ht="22.5" customHeight="1">
      <c r="A303" s="7"/>
      <c r="B303" s="7"/>
      <c r="C303" s="7"/>
      <c r="D303" s="7"/>
      <c r="E303" s="7"/>
      <c r="F303" s="7"/>
      <c r="G303" s="7"/>
    </row>
    <row r="304" spans="1:7" ht="22.5" customHeight="1">
      <c r="A304" s="7"/>
      <c r="B304" s="7"/>
      <c r="C304" s="7"/>
      <c r="D304" s="7"/>
      <c r="E304" s="7"/>
      <c r="F304" s="7"/>
      <c r="G304" s="7"/>
    </row>
    <row r="305" spans="1:7" ht="22.5" customHeight="1">
      <c r="A305" s="7"/>
      <c r="B305" s="7"/>
      <c r="C305" s="7"/>
      <c r="D305" s="7"/>
      <c r="E305" s="7"/>
      <c r="F305" s="7"/>
      <c r="G305" s="7"/>
    </row>
    <row r="306" spans="1:7" ht="22.5" customHeight="1">
      <c r="A306" s="7"/>
      <c r="B306" s="7"/>
      <c r="C306" s="7"/>
      <c r="D306" s="7"/>
      <c r="E306" s="7"/>
      <c r="F306" s="7"/>
      <c r="G306" s="7"/>
    </row>
    <row r="307" spans="1:7" ht="22.5" customHeight="1">
      <c r="A307" s="7"/>
      <c r="B307" s="7"/>
      <c r="C307" s="7"/>
      <c r="D307" s="7"/>
      <c r="E307" s="7"/>
      <c r="F307" s="7"/>
      <c r="G307" s="7"/>
    </row>
    <row r="308" spans="1:7" ht="22.5" customHeight="1">
      <c r="A308" s="7"/>
      <c r="B308" s="7"/>
      <c r="C308" s="7"/>
      <c r="D308" s="7"/>
      <c r="E308" s="7"/>
      <c r="F308" s="7"/>
      <c r="G308" s="7"/>
    </row>
    <row r="309" spans="1:7" ht="22.5" customHeight="1">
      <c r="A309" s="7"/>
      <c r="B309" s="7"/>
      <c r="C309" s="7"/>
      <c r="D309" s="7"/>
      <c r="E309" s="7"/>
      <c r="F309" s="7"/>
      <c r="G309" s="7"/>
    </row>
    <row r="310" spans="1:7" ht="22.5" customHeight="1">
      <c r="A310" s="7"/>
      <c r="B310" s="7"/>
      <c r="C310" s="7"/>
      <c r="D310" s="7"/>
      <c r="E310" s="7"/>
      <c r="F310" s="7"/>
      <c r="G310" s="7"/>
    </row>
    <row r="311" spans="1:7" ht="22.5" customHeight="1">
      <c r="A311" s="7"/>
      <c r="B311" s="7"/>
      <c r="C311" s="7"/>
      <c r="D311" s="7"/>
      <c r="E311" s="7"/>
      <c r="F311" s="7"/>
      <c r="G311" s="7"/>
    </row>
    <row r="312" spans="1:7" ht="22.5" customHeight="1">
      <c r="A312" s="7"/>
      <c r="B312" s="7"/>
      <c r="C312" s="7"/>
      <c r="D312" s="7"/>
      <c r="E312" s="7"/>
      <c r="F312" s="7"/>
      <c r="G312" s="7"/>
    </row>
    <row r="313" spans="1:7" ht="22.5" customHeight="1">
      <c r="A313" s="7"/>
      <c r="B313" s="7"/>
      <c r="C313" s="7"/>
      <c r="D313" s="7"/>
      <c r="E313" s="7"/>
      <c r="F313" s="7"/>
      <c r="G313" s="7"/>
    </row>
    <row r="314" spans="1:7" ht="22.5" customHeight="1">
      <c r="A314" s="7"/>
      <c r="B314" s="7"/>
      <c r="C314" s="7"/>
      <c r="D314" s="7"/>
      <c r="E314" s="7"/>
      <c r="F314" s="7"/>
      <c r="G314" s="7"/>
    </row>
    <row r="315" spans="1:7" ht="22.5" customHeight="1">
      <c r="A315" s="7"/>
      <c r="B315" s="7"/>
      <c r="C315" s="7"/>
      <c r="D315" s="7"/>
      <c r="E315" s="7"/>
      <c r="F315" s="7"/>
      <c r="G315" s="7"/>
    </row>
    <row r="316" spans="1:7" ht="22.5" customHeight="1">
      <c r="A316" s="7"/>
      <c r="B316" s="7"/>
      <c r="C316" s="7"/>
      <c r="D316" s="7"/>
      <c r="E316" s="7"/>
      <c r="F316" s="7"/>
      <c r="G316" s="7"/>
    </row>
    <row r="317" spans="1:7" ht="22.5" customHeight="1">
      <c r="A317" s="7"/>
      <c r="B317" s="7"/>
      <c r="C317" s="7"/>
      <c r="D317" s="7"/>
      <c r="E317" s="7"/>
      <c r="F317" s="7"/>
      <c r="G317" s="7"/>
    </row>
    <row r="318" spans="1:7" ht="22.5" customHeight="1">
      <c r="A318" s="7"/>
      <c r="B318" s="7"/>
      <c r="C318" s="7"/>
      <c r="D318" s="7"/>
      <c r="E318" s="7"/>
      <c r="F318" s="7"/>
      <c r="G318" s="7"/>
    </row>
    <row r="319" spans="1:7" ht="22.5" customHeight="1">
      <c r="A319" s="7"/>
      <c r="B319" s="7"/>
      <c r="C319" s="7"/>
      <c r="D319" s="7"/>
      <c r="E319" s="7"/>
      <c r="F319" s="7"/>
      <c r="G319" s="7"/>
    </row>
    <row r="320" spans="1:7" ht="22.5" customHeight="1">
      <c r="A320" s="7"/>
      <c r="B320" s="7"/>
      <c r="C320" s="7"/>
      <c r="D320" s="7"/>
      <c r="E320" s="7"/>
      <c r="F320" s="7"/>
      <c r="G320" s="7"/>
    </row>
    <row r="321" spans="1:7" ht="22.5" customHeight="1">
      <c r="A321" s="7"/>
      <c r="B321" s="7"/>
      <c r="C321" s="7"/>
      <c r="D321" s="7"/>
      <c r="E321" s="7"/>
      <c r="F321" s="7"/>
      <c r="G321" s="7"/>
    </row>
    <row r="322" spans="1:7" ht="22.5" customHeight="1">
      <c r="A322" s="7"/>
      <c r="B322" s="7"/>
      <c r="C322" s="7"/>
      <c r="D322" s="7"/>
      <c r="E322" s="7"/>
      <c r="F322" s="7"/>
      <c r="G322" s="7"/>
    </row>
    <row r="323" spans="1:7" ht="22.5" customHeight="1">
      <c r="A323" s="7"/>
      <c r="B323" s="7"/>
      <c r="C323" s="7"/>
      <c r="D323" s="7"/>
      <c r="E323" s="7"/>
      <c r="F323" s="7"/>
      <c r="G323" s="7"/>
    </row>
    <row r="324" spans="1:7" ht="22.5" customHeight="1">
      <c r="A324" s="7"/>
      <c r="B324" s="7"/>
      <c r="C324" s="7"/>
      <c r="D324" s="7"/>
      <c r="E324" s="7"/>
      <c r="F324" s="7"/>
      <c r="G324" s="7"/>
    </row>
    <row r="325" spans="1:7" ht="22.5" customHeight="1">
      <c r="A325" s="7"/>
      <c r="B325" s="7"/>
      <c r="C325" s="7"/>
      <c r="D325" s="7"/>
      <c r="E325" s="7"/>
      <c r="F325" s="7"/>
      <c r="G325" s="7"/>
    </row>
    <row r="326" spans="1:7" ht="22.5" customHeight="1">
      <c r="A326" s="7"/>
      <c r="B326" s="7"/>
      <c r="C326" s="7"/>
      <c r="D326" s="7"/>
      <c r="E326" s="7"/>
      <c r="F326" s="7"/>
      <c r="G326" s="7"/>
    </row>
    <row r="327" spans="1:7" ht="22.5" customHeight="1">
      <c r="A327" s="7"/>
      <c r="B327" s="7"/>
      <c r="C327" s="7"/>
      <c r="D327" s="7"/>
      <c r="E327" s="7"/>
      <c r="F327" s="7"/>
      <c r="G327" s="7"/>
    </row>
    <row r="328" spans="1:7" ht="22.5" customHeight="1">
      <c r="A328" s="7"/>
      <c r="B328" s="7"/>
      <c r="C328" s="7"/>
      <c r="D328" s="7"/>
      <c r="E328" s="7"/>
      <c r="F328" s="7"/>
      <c r="G328" s="7"/>
    </row>
    <row r="329" spans="1:7" ht="22.5" customHeight="1">
      <c r="A329" s="7"/>
      <c r="B329" s="7"/>
      <c r="C329" s="7"/>
      <c r="D329" s="7"/>
      <c r="E329" s="7"/>
      <c r="F329" s="7"/>
      <c r="G329" s="7"/>
    </row>
    <row r="330" spans="1:7" ht="22.5" customHeight="1">
      <c r="A330" s="7"/>
      <c r="B330" s="7"/>
      <c r="C330" s="7"/>
      <c r="D330" s="7"/>
      <c r="E330" s="7"/>
      <c r="F330" s="7"/>
      <c r="G330" s="7"/>
    </row>
    <row r="331" spans="1:7" ht="22.5" customHeight="1">
      <c r="A331" s="7"/>
      <c r="B331" s="7"/>
      <c r="C331" s="7"/>
      <c r="D331" s="7"/>
      <c r="E331" s="7"/>
      <c r="F331" s="7"/>
      <c r="G331" s="7"/>
    </row>
    <row r="332" spans="1:7" ht="22.5" customHeight="1">
      <c r="A332" s="7"/>
      <c r="B332" s="7"/>
      <c r="C332" s="7"/>
      <c r="D332" s="7"/>
      <c r="E332" s="7"/>
      <c r="F332" s="7"/>
      <c r="G332" s="7"/>
    </row>
    <row r="333" spans="1:7" ht="22.5" customHeight="1">
      <c r="A333" s="7"/>
      <c r="B333" s="7"/>
      <c r="C333" s="7"/>
      <c r="D333" s="7"/>
      <c r="E333" s="7"/>
      <c r="F333" s="7"/>
      <c r="G333" s="7"/>
    </row>
    <row r="334" spans="1:7" ht="22.5" customHeight="1">
      <c r="A334" s="7"/>
      <c r="B334" s="7"/>
      <c r="C334" s="7"/>
      <c r="D334" s="7"/>
      <c r="E334" s="7"/>
      <c r="F334" s="7"/>
      <c r="G334" s="7"/>
    </row>
    <row r="335" spans="1:7" ht="22.5" customHeight="1">
      <c r="A335" s="7"/>
      <c r="B335" s="7"/>
      <c r="C335" s="7"/>
      <c r="D335" s="7"/>
      <c r="E335" s="7"/>
      <c r="F335" s="7"/>
      <c r="G335" s="7"/>
    </row>
    <row r="336" spans="1:7" ht="22.5" customHeight="1">
      <c r="A336" s="7"/>
      <c r="B336" s="7"/>
      <c r="C336" s="7"/>
      <c r="D336" s="7"/>
      <c r="E336" s="7"/>
      <c r="F336" s="7"/>
      <c r="G336" s="7"/>
    </row>
    <row r="337" spans="1:7" ht="22.5" customHeight="1">
      <c r="A337" s="7"/>
      <c r="B337" s="7"/>
      <c r="C337" s="7"/>
      <c r="D337" s="7"/>
      <c r="E337" s="7"/>
      <c r="F337" s="7"/>
      <c r="G337" s="7"/>
    </row>
    <row r="338" spans="1:7" ht="22.5" customHeight="1">
      <c r="A338" s="7"/>
      <c r="B338" s="7"/>
      <c r="C338" s="7"/>
      <c r="D338" s="7"/>
      <c r="E338" s="7"/>
      <c r="F338" s="7"/>
      <c r="G338" s="7"/>
    </row>
    <row r="339" spans="1:7" ht="22.5" customHeight="1">
      <c r="A339" s="7"/>
      <c r="B339" s="7"/>
      <c r="C339" s="7"/>
      <c r="D339" s="7"/>
      <c r="E339" s="7"/>
      <c r="F339" s="7"/>
      <c r="G339" s="7"/>
    </row>
    <row r="340" spans="1:7" ht="22.5" customHeight="1">
      <c r="A340" s="7"/>
      <c r="B340" s="7"/>
      <c r="C340" s="7"/>
      <c r="D340" s="7"/>
      <c r="E340" s="7"/>
      <c r="F340" s="7"/>
      <c r="G340" s="7"/>
    </row>
    <row r="341" spans="1:7" ht="22.5" customHeight="1">
      <c r="A341" s="7"/>
      <c r="B341" s="7"/>
      <c r="C341" s="7"/>
      <c r="D341" s="7"/>
      <c r="E341" s="7"/>
      <c r="F341" s="7"/>
      <c r="G341" s="7"/>
    </row>
    <row r="342" spans="1:7" ht="22.5" customHeight="1">
      <c r="A342" s="7"/>
      <c r="B342" s="7"/>
      <c r="C342" s="7"/>
      <c r="D342" s="7"/>
      <c r="E342" s="7"/>
      <c r="F342" s="7"/>
      <c r="G342" s="7"/>
    </row>
    <row r="343" spans="1:7" ht="22.5" customHeight="1">
      <c r="A343" s="7"/>
      <c r="B343" s="7"/>
      <c r="C343" s="7"/>
      <c r="D343" s="7"/>
      <c r="E343" s="7"/>
      <c r="F343" s="7"/>
      <c r="G343" s="7"/>
    </row>
    <row r="344" spans="1:7" ht="22.5" customHeight="1">
      <c r="A344" s="7"/>
      <c r="B344" s="7"/>
      <c r="C344" s="7"/>
      <c r="D344" s="7"/>
      <c r="E344" s="7"/>
      <c r="F344" s="7"/>
      <c r="G344" s="7"/>
    </row>
    <row r="345" spans="1:7" ht="22.5" customHeight="1">
      <c r="A345" s="7"/>
      <c r="B345" s="7"/>
      <c r="C345" s="7"/>
      <c r="D345" s="7"/>
      <c r="E345" s="7"/>
      <c r="F345" s="7"/>
      <c r="G345" s="7"/>
    </row>
    <row r="346" spans="1:7" ht="22.5" customHeight="1">
      <c r="A346" s="7"/>
      <c r="B346" s="7"/>
      <c r="C346" s="7"/>
      <c r="D346" s="7"/>
      <c r="E346" s="7"/>
      <c r="F346" s="7"/>
      <c r="G346" s="7"/>
    </row>
    <row r="347" spans="1:7" ht="22.5" customHeight="1">
      <c r="A347" s="7"/>
      <c r="B347" s="7"/>
      <c r="C347" s="7"/>
      <c r="D347" s="7"/>
      <c r="E347" s="7"/>
      <c r="F347" s="7"/>
      <c r="G347" s="7"/>
    </row>
    <row r="348" spans="1:7" ht="22.5" customHeight="1">
      <c r="A348" s="7"/>
      <c r="B348" s="7"/>
      <c r="C348" s="7"/>
      <c r="D348" s="7"/>
      <c r="E348" s="7"/>
      <c r="F348" s="7"/>
      <c r="G348" s="7"/>
    </row>
    <row r="349" spans="1:7" ht="22.5" customHeight="1">
      <c r="A349" s="7"/>
      <c r="B349" s="7"/>
      <c r="C349" s="7"/>
      <c r="D349" s="7"/>
      <c r="E349" s="7"/>
      <c r="F349" s="7"/>
      <c r="G349" s="7"/>
    </row>
    <row r="350" spans="1:7" ht="22.5" customHeight="1">
      <c r="A350" s="7"/>
      <c r="B350" s="7"/>
      <c r="C350" s="7"/>
      <c r="D350" s="7"/>
      <c r="E350" s="7"/>
      <c r="F350" s="7"/>
      <c r="G350" s="7"/>
    </row>
    <row r="351" spans="1:7" ht="22.5" customHeight="1">
      <c r="A351" s="7"/>
      <c r="B351" s="7"/>
      <c r="C351" s="7"/>
      <c r="D351" s="7"/>
      <c r="E351" s="7"/>
      <c r="F351" s="7"/>
      <c r="G351" s="7"/>
    </row>
    <row r="352" spans="1:7" ht="22.5" customHeight="1">
      <c r="A352" s="7"/>
      <c r="B352" s="7"/>
      <c r="C352" s="7"/>
      <c r="D352" s="7"/>
      <c r="E352" s="7"/>
      <c r="F352" s="7"/>
      <c r="G352" s="7"/>
    </row>
    <row r="353" spans="1:7" ht="22.5" customHeight="1">
      <c r="A353" s="7"/>
      <c r="B353" s="7"/>
      <c r="C353" s="7"/>
      <c r="D353" s="7"/>
      <c r="E353" s="7"/>
      <c r="F353" s="7"/>
      <c r="G353" s="7"/>
    </row>
    <row r="354" spans="1:7" ht="22.5" customHeight="1">
      <c r="A354" s="7"/>
      <c r="B354" s="7"/>
      <c r="C354" s="7"/>
      <c r="D354" s="7"/>
      <c r="E354" s="7"/>
      <c r="F354" s="7"/>
      <c r="G354" s="7"/>
    </row>
    <row r="355" spans="1:7" ht="22.5" customHeight="1">
      <c r="A355" s="7"/>
      <c r="B355" s="7"/>
      <c r="C355" s="7"/>
      <c r="D355" s="7"/>
      <c r="E355" s="7"/>
      <c r="F355" s="7"/>
      <c r="G355" s="7"/>
    </row>
    <row r="356" spans="1:7" ht="22.5" customHeight="1">
      <c r="A356" s="7"/>
      <c r="B356" s="7"/>
      <c r="C356" s="7"/>
      <c r="D356" s="7"/>
      <c r="E356" s="7"/>
      <c r="F356" s="7"/>
      <c r="G356" s="7"/>
    </row>
    <row r="357" spans="1:7" ht="22.5" customHeight="1">
      <c r="A357" s="7"/>
      <c r="B357" s="7"/>
      <c r="C357" s="7"/>
      <c r="D357" s="7"/>
      <c r="E357" s="7"/>
      <c r="F357" s="7"/>
      <c r="G357" s="7"/>
    </row>
    <row r="358" spans="1:7" ht="22.5" customHeight="1">
      <c r="A358" s="7"/>
      <c r="B358" s="7"/>
      <c r="C358" s="7"/>
      <c r="D358" s="7"/>
      <c r="E358" s="7"/>
      <c r="F358" s="7"/>
      <c r="G358" s="7"/>
    </row>
    <row r="359" spans="1:7" ht="22.5" customHeight="1">
      <c r="A359" s="7"/>
      <c r="B359" s="7"/>
      <c r="C359" s="7"/>
      <c r="D359" s="7"/>
      <c r="E359" s="7"/>
      <c r="F359" s="7"/>
      <c r="G359" s="7"/>
    </row>
    <row r="360" spans="1:7" ht="22.5" customHeight="1">
      <c r="A360" s="7"/>
      <c r="B360" s="7"/>
      <c r="C360" s="7"/>
      <c r="D360" s="7"/>
      <c r="E360" s="7"/>
      <c r="F360" s="7"/>
      <c r="G360" s="7"/>
    </row>
    <row r="361" spans="1:7" ht="22.5" customHeight="1">
      <c r="A361" s="7"/>
      <c r="B361" s="7"/>
      <c r="C361" s="7"/>
      <c r="D361" s="7"/>
      <c r="E361" s="7"/>
      <c r="F361" s="7"/>
      <c r="G361" s="7"/>
    </row>
    <row r="362" spans="1:7" ht="22.5" customHeight="1">
      <c r="A362" s="7"/>
      <c r="B362" s="7"/>
      <c r="C362" s="7"/>
      <c r="D362" s="7"/>
      <c r="E362" s="7"/>
      <c r="F362" s="7"/>
      <c r="G362" s="7"/>
    </row>
    <row r="363" spans="1:7" ht="22.5" customHeight="1">
      <c r="A363" s="7"/>
      <c r="B363" s="7"/>
      <c r="C363" s="7"/>
      <c r="D363" s="7"/>
      <c r="E363" s="7"/>
      <c r="F363" s="7"/>
      <c r="G363" s="7"/>
    </row>
    <row r="364" spans="1:7" ht="22.5" customHeight="1">
      <c r="A364" s="7"/>
      <c r="B364" s="7"/>
      <c r="C364" s="7"/>
      <c r="D364" s="7"/>
      <c r="E364" s="7"/>
      <c r="F364" s="7"/>
      <c r="G364" s="7"/>
    </row>
    <row r="365" spans="1:7" ht="22.5" customHeight="1">
      <c r="A365" s="7"/>
      <c r="B365" s="7"/>
      <c r="C365" s="7"/>
      <c r="D365" s="7"/>
      <c r="E365" s="7"/>
      <c r="F365" s="7"/>
      <c r="G365" s="7"/>
    </row>
    <row r="366" spans="1:7" ht="22.5" customHeight="1">
      <c r="A366" s="7"/>
      <c r="B366" s="7"/>
      <c r="C366" s="7"/>
      <c r="D366" s="7"/>
      <c r="E366" s="7"/>
      <c r="F366" s="7"/>
      <c r="G366" s="7"/>
    </row>
    <row r="367" spans="1:7" ht="22.5" customHeight="1">
      <c r="A367" s="7"/>
      <c r="B367" s="7"/>
      <c r="C367" s="7"/>
      <c r="D367" s="7"/>
      <c r="E367" s="7"/>
      <c r="F367" s="7"/>
      <c r="G367" s="7"/>
    </row>
    <row r="368" spans="1:7" ht="22.5" customHeight="1">
      <c r="A368" s="7"/>
      <c r="B368" s="7"/>
      <c r="C368" s="7"/>
      <c r="D368" s="7"/>
      <c r="E368" s="7"/>
      <c r="F368" s="7"/>
      <c r="G368" s="7"/>
    </row>
    <row r="369" spans="1:7" ht="22.5" customHeight="1">
      <c r="A369" s="7"/>
      <c r="B369" s="7"/>
      <c r="C369" s="7"/>
      <c r="D369" s="7"/>
      <c r="E369" s="7"/>
      <c r="F369" s="7"/>
      <c r="G369" s="7"/>
    </row>
    <row r="370" spans="1:7" ht="22.5" customHeight="1">
      <c r="A370" s="7"/>
      <c r="B370" s="7"/>
      <c r="C370" s="7"/>
      <c r="D370" s="7"/>
      <c r="E370" s="7"/>
      <c r="F370" s="7"/>
      <c r="G370" s="7"/>
    </row>
    <row r="371" spans="1:7" ht="22.5" customHeight="1">
      <c r="A371" s="7"/>
      <c r="B371" s="7"/>
      <c r="C371" s="7"/>
      <c r="D371" s="7"/>
      <c r="E371" s="7"/>
      <c r="F371" s="7"/>
      <c r="G371" s="7"/>
    </row>
    <row r="372" spans="1:7" ht="22.5" customHeight="1">
      <c r="A372" s="7"/>
      <c r="B372" s="7"/>
      <c r="C372" s="7"/>
      <c r="D372" s="7"/>
      <c r="E372" s="7"/>
      <c r="F372" s="7"/>
      <c r="G372" s="7"/>
    </row>
    <row r="373" spans="1:7" ht="22.5" customHeight="1">
      <c r="A373" s="7"/>
      <c r="B373" s="7"/>
      <c r="C373" s="7"/>
      <c r="D373" s="7"/>
      <c r="E373" s="7"/>
      <c r="F373" s="7"/>
      <c r="G373" s="7"/>
    </row>
    <row r="374" spans="1:7" ht="22.5" customHeight="1">
      <c r="A374" s="7"/>
      <c r="B374" s="7"/>
      <c r="C374" s="7"/>
      <c r="D374" s="7"/>
      <c r="E374" s="7"/>
      <c r="F374" s="7"/>
      <c r="G374" s="7"/>
    </row>
    <row r="375" spans="1:7" ht="22.5" customHeight="1">
      <c r="A375" s="7"/>
      <c r="B375" s="7"/>
      <c r="C375" s="7"/>
      <c r="D375" s="7"/>
      <c r="E375" s="7"/>
      <c r="F375" s="7"/>
      <c r="G375" s="7"/>
    </row>
    <row r="376" spans="1:7" ht="22.5" customHeight="1">
      <c r="A376" s="7"/>
      <c r="B376" s="7"/>
      <c r="C376" s="7"/>
      <c r="D376" s="7"/>
      <c r="E376" s="7"/>
      <c r="F376" s="7"/>
      <c r="G376" s="7"/>
    </row>
    <row r="377" spans="1:7" ht="22.5" customHeight="1">
      <c r="A377" s="7"/>
      <c r="B377" s="7"/>
      <c r="C377" s="7"/>
      <c r="D377" s="7"/>
      <c r="E377" s="7"/>
      <c r="F377" s="7"/>
      <c r="G377" s="7"/>
    </row>
    <row r="378" spans="1:7" ht="22.5" customHeight="1">
      <c r="A378" s="7"/>
      <c r="B378" s="7"/>
      <c r="C378" s="7"/>
      <c r="D378" s="7"/>
      <c r="E378" s="7"/>
      <c r="F378" s="7"/>
      <c r="G378" s="7"/>
    </row>
    <row r="379" spans="1:7" ht="22.5" customHeight="1">
      <c r="A379" s="7"/>
      <c r="B379" s="7"/>
      <c r="C379" s="7"/>
      <c r="D379" s="7"/>
      <c r="E379" s="7"/>
      <c r="F379" s="7"/>
      <c r="G379" s="7"/>
    </row>
    <row r="380" spans="1:7" ht="22.5" customHeight="1">
      <c r="A380" s="7"/>
      <c r="B380" s="7"/>
      <c r="C380" s="7"/>
      <c r="D380" s="7"/>
      <c r="E380" s="7"/>
      <c r="F380" s="7"/>
      <c r="G380" s="7"/>
    </row>
    <row r="381" spans="1:7" ht="22.5" customHeight="1">
      <c r="A381" s="7"/>
      <c r="B381" s="7"/>
      <c r="C381" s="7"/>
      <c r="D381" s="7"/>
      <c r="E381" s="7"/>
      <c r="F381" s="7"/>
      <c r="G381" s="7"/>
    </row>
    <row r="382" spans="1:7" ht="22.5" customHeight="1">
      <c r="A382" s="7"/>
      <c r="B382" s="7"/>
      <c r="C382" s="7"/>
      <c r="D382" s="7"/>
      <c r="E382" s="7"/>
      <c r="F382" s="7"/>
      <c r="G382" s="7"/>
    </row>
    <row r="383" spans="1:7" ht="22.5" customHeight="1">
      <c r="A383" s="7"/>
      <c r="B383" s="7"/>
      <c r="C383" s="7"/>
      <c r="D383" s="7"/>
      <c r="E383" s="7"/>
      <c r="F383" s="7"/>
      <c r="G383" s="7"/>
    </row>
    <row r="384" spans="1:7" ht="22.5" customHeight="1">
      <c r="A384" s="7"/>
      <c r="B384" s="7"/>
      <c r="C384" s="7"/>
      <c r="D384" s="7"/>
      <c r="E384" s="7"/>
      <c r="F384" s="7"/>
      <c r="G384" s="7"/>
    </row>
    <row r="385" spans="1:7" ht="22.5" customHeight="1">
      <c r="A385" s="7"/>
      <c r="B385" s="7"/>
      <c r="C385" s="7"/>
      <c r="D385" s="7"/>
      <c r="E385" s="7"/>
      <c r="F385" s="7"/>
      <c r="G385" s="7"/>
    </row>
    <row r="386" spans="1:7" ht="22.5" customHeight="1">
      <c r="A386" s="7"/>
      <c r="B386" s="7"/>
      <c r="C386" s="7"/>
      <c r="D386" s="7"/>
      <c r="E386" s="7"/>
      <c r="F386" s="7"/>
      <c r="G386" s="7"/>
    </row>
    <row r="387" spans="1:7" ht="22.5" customHeight="1">
      <c r="A387" s="7"/>
      <c r="B387" s="7"/>
      <c r="C387" s="7"/>
      <c r="D387" s="7"/>
      <c r="E387" s="7"/>
      <c r="F387" s="7"/>
      <c r="G387" s="7"/>
    </row>
    <row r="388" spans="1:7" ht="22.5" customHeight="1">
      <c r="A388" s="7"/>
      <c r="B388" s="7"/>
      <c r="C388" s="7"/>
      <c r="D388" s="7"/>
      <c r="E388" s="7"/>
      <c r="F388" s="7"/>
      <c r="G388" s="7"/>
    </row>
    <row r="389" spans="1:7" ht="22.5" customHeight="1">
      <c r="A389" s="7"/>
      <c r="B389" s="7"/>
      <c r="C389" s="7"/>
      <c r="D389" s="7"/>
      <c r="E389" s="7"/>
      <c r="F389" s="7"/>
      <c r="G389" s="7"/>
    </row>
    <row r="390" spans="1:7" ht="22.5" customHeight="1">
      <c r="A390" s="7"/>
      <c r="B390" s="7"/>
      <c r="C390" s="7"/>
      <c r="D390" s="7"/>
      <c r="E390" s="7"/>
      <c r="F390" s="7"/>
      <c r="G390" s="7"/>
    </row>
    <row r="391" spans="1:7" ht="22.5" customHeight="1">
      <c r="A391" s="7"/>
      <c r="B391" s="7"/>
      <c r="C391" s="7"/>
      <c r="D391" s="7"/>
      <c r="E391" s="7"/>
      <c r="F391" s="7"/>
      <c r="G391" s="7"/>
    </row>
    <row r="392" spans="1:7" ht="22.5" customHeight="1">
      <c r="A392" s="7"/>
      <c r="B392" s="7"/>
      <c r="C392" s="7"/>
      <c r="D392" s="7"/>
      <c r="E392" s="7"/>
      <c r="F392" s="7"/>
      <c r="G392" s="7"/>
    </row>
    <row r="393" spans="1:7" ht="22.5" customHeight="1">
      <c r="A393" s="7"/>
      <c r="B393" s="7"/>
      <c r="C393" s="7"/>
      <c r="D393" s="7"/>
      <c r="E393" s="7"/>
      <c r="F393" s="7"/>
      <c r="G393" s="7"/>
    </row>
    <row r="394" spans="1:7" ht="22.5" customHeight="1">
      <c r="A394" s="7"/>
      <c r="B394" s="7"/>
      <c r="C394" s="7"/>
      <c r="D394" s="7"/>
      <c r="E394" s="7"/>
      <c r="F394" s="7"/>
      <c r="G394" s="7"/>
    </row>
    <row r="395" spans="1:7" ht="22.5" customHeight="1">
      <c r="A395" s="7"/>
      <c r="B395" s="7"/>
      <c r="C395" s="7"/>
      <c r="D395" s="7"/>
      <c r="E395" s="7"/>
      <c r="F395" s="7"/>
      <c r="G395" s="7"/>
    </row>
    <row r="396" spans="1:7" ht="22.5" customHeight="1">
      <c r="A396" s="7"/>
      <c r="B396" s="7"/>
      <c r="C396" s="7"/>
      <c r="D396" s="7"/>
      <c r="E396" s="7"/>
      <c r="F396" s="7"/>
      <c r="G396" s="7"/>
    </row>
    <row r="397" spans="1:7" ht="22.5" customHeight="1">
      <c r="A397" s="7"/>
      <c r="B397" s="7"/>
      <c r="C397" s="7"/>
      <c r="D397" s="7"/>
      <c r="E397" s="7"/>
      <c r="F397" s="7"/>
      <c r="G397" s="7"/>
    </row>
    <row r="398" spans="1:7" ht="22.5" customHeight="1">
      <c r="A398" s="7"/>
      <c r="B398" s="7"/>
      <c r="C398" s="7"/>
      <c r="D398" s="7"/>
      <c r="E398" s="7"/>
      <c r="F398" s="7"/>
      <c r="G398" s="7"/>
    </row>
    <row r="399" spans="1:7" ht="22.5" customHeight="1">
      <c r="A399" s="7"/>
      <c r="B399" s="7"/>
      <c r="C399" s="7"/>
      <c r="D399" s="7"/>
      <c r="E399" s="7"/>
      <c r="F399" s="7"/>
      <c r="G399" s="7"/>
    </row>
    <row r="400" spans="1:7" ht="22.5" customHeight="1">
      <c r="A400" s="7"/>
      <c r="B400" s="7"/>
      <c r="C400" s="7"/>
      <c r="D400" s="7"/>
      <c r="E400" s="7"/>
      <c r="F400" s="7"/>
      <c r="G400" s="7"/>
    </row>
    <row r="401" spans="1:7" ht="22.5" customHeight="1">
      <c r="A401" s="7"/>
      <c r="B401" s="7"/>
      <c r="C401" s="7"/>
      <c r="D401" s="7"/>
      <c r="E401" s="7"/>
      <c r="F401" s="7"/>
      <c r="G401" s="7"/>
    </row>
    <row r="402" spans="1:7" ht="22.5" customHeight="1">
      <c r="A402" s="7"/>
      <c r="B402" s="7"/>
      <c r="C402" s="7"/>
      <c r="D402" s="7"/>
      <c r="E402" s="7"/>
      <c r="F402" s="7"/>
      <c r="G402" s="7"/>
    </row>
    <row r="403" spans="1:7" ht="22.5" customHeight="1">
      <c r="A403" s="7"/>
      <c r="B403" s="7"/>
      <c r="C403" s="7"/>
      <c r="D403" s="7"/>
      <c r="E403" s="7"/>
      <c r="F403" s="7"/>
      <c r="G403" s="7"/>
    </row>
    <row r="404" spans="1:7" ht="22.5" customHeight="1">
      <c r="A404" s="7"/>
      <c r="B404" s="7"/>
      <c r="C404" s="7"/>
      <c r="D404" s="7"/>
      <c r="E404" s="7"/>
      <c r="F404" s="7"/>
      <c r="G404" s="7"/>
    </row>
    <row r="405" spans="1:7" ht="22.5" customHeight="1">
      <c r="A405" s="7"/>
      <c r="B405" s="7"/>
      <c r="C405" s="7"/>
      <c r="D405" s="7"/>
      <c r="E405" s="7"/>
      <c r="F405" s="7"/>
      <c r="G405" s="7"/>
    </row>
    <row r="406" spans="1:7" ht="22.5" customHeight="1">
      <c r="A406" s="7"/>
      <c r="B406" s="7"/>
      <c r="C406" s="7"/>
      <c r="D406" s="7"/>
      <c r="E406" s="7"/>
      <c r="F406" s="7"/>
      <c r="G406" s="7"/>
    </row>
    <row r="407" spans="1:7" ht="22.5" customHeight="1">
      <c r="A407" s="7"/>
      <c r="B407" s="7"/>
      <c r="C407" s="7"/>
      <c r="D407" s="7"/>
      <c r="E407" s="7"/>
      <c r="F407" s="7"/>
      <c r="G407" s="7"/>
    </row>
    <row r="408" spans="1:7" ht="22.5" customHeight="1">
      <c r="A408" s="7"/>
      <c r="B408" s="7"/>
      <c r="C408" s="7"/>
      <c r="D408" s="7"/>
      <c r="E408" s="7"/>
      <c r="F408" s="7"/>
      <c r="G408" s="7"/>
    </row>
    <row r="409" spans="1:7" ht="22.5" customHeight="1">
      <c r="A409" s="7"/>
      <c r="B409" s="7"/>
      <c r="C409" s="7"/>
      <c r="D409" s="7"/>
      <c r="E409" s="7"/>
      <c r="F409" s="7"/>
      <c r="G409" s="7"/>
    </row>
    <row r="410" spans="1:7" ht="22.5" customHeight="1">
      <c r="A410" s="7"/>
      <c r="B410" s="7"/>
      <c r="C410" s="7"/>
      <c r="D410" s="7"/>
      <c r="E410" s="7"/>
      <c r="F410" s="7"/>
      <c r="G410" s="7"/>
    </row>
    <row r="411" spans="1:7" ht="22.5" customHeight="1">
      <c r="A411" s="7"/>
      <c r="B411" s="7"/>
      <c r="C411" s="7"/>
      <c r="D411" s="7"/>
      <c r="E411" s="7"/>
      <c r="F411" s="7"/>
      <c r="G411" s="7"/>
    </row>
    <row r="412" spans="1:7" ht="22.5" customHeight="1">
      <c r="A412" s="7"/>
      <c r="B412" s="7"/>
      <c r="C412" s="7"/>
      <c r="D412" s="7"/>
      <c r="E412" s="7"/>
      <c r="F412" s="7"/>
      <c r="G412" s="7"/>
    </row>
    <row r="413" spans="1:7" ht="22.5" customHeight="1">
      <c r="A413" s="7"/>
      <c r="B413" s="7"/>
      <c r="C413" s="7"/>
      <c r="D413" s="7"/>
      <c r="E413" s="7"/>
      <c r="F413" s="7"/>
      <c r="G413" s="7"/>
    </row>
    <row r="414" spans="1:7" ht="22.5" customHeight="1">
      <c r="A414" s="7"/>
      <c r="B414" s="7"/>
      <c r="C414" s="7"/>
      <c r="D414" s="7"/>
      <c r="E414" s="7"/>
      <c r="F414" s="7"/>
      <c r="G414" s="7"/>
    </row>
    <row r="415" spans="1:7" ht="22.5" customHeight="1">
      <c r="A415" s="7"/>
      <c r="B415" s="7"/>
      <c r="C415" s="7"/>
      <c r="D415" s="7"/>
      <c r="E415" s="7"/>
      <c r="F415" s="7"/>
      <c r="G415" s="7"/>
    </row>
    <row r="416" spans="1:7" ht="22.5" customHeight="1">
      <c r="A416" s="7"/>
      <c r="B416" s="7"/>
      <c r="C416" s="7"/>
      <c r="D416" s="7"/>
      <c r="E416" s="7"/>
      <c r="F416" s="7"/>
      <c r="G416" s="7"/>
    </row>
    <row r="417" spans="1:7" ht="22.5" customHeight="1">
      <c r="A417" s="7"/>
      <c r="B417" s="7"/>
      <c r="C417" s="7"/>
      <c r="D417" s="7"/>
      <c r="E417" s="7"/>
      <c r="F417" s="7"/>
      <c r="G417" s="7"/>
    </row>
    <row r="418" spans="1:7" ht="22.5" customHeight="1">
      <c r="A418" s="7"/>
      <c r="B418" s="7"/>
      <c r="C418" s="7"/>
      <c r="D418" s="7"/>
      <c r="E418" s="7"/>
      <c r="F418" s="7"/>
      <c r="G418" s="7"/>
    </row>
    <row r="419" spans="1:7" ht="22.5" customHeight="1">
      <c r="A419" s="7"/>
      <c r="B419" s="7"/>
      <c r="C419" s="7"/>
      <c r="D419" s="7"/>
      <c r="E419" s="7"/>
      <c r="F419" s="7"/>
      <c r="G419" s="7"/>
    </row>
    <row r="420" spans="1:7" ht="22.5" customHeight="1">
      <c r="A420" s="7"/>
      <c r="B420" s="7"/>
      <c r="C420" s="7"/>
      <c r="D420" s="7"/>
      <c r="E420" s="7"/>
      <c r="F420" s="7"/>
      <c r="G420" s="7"/>
    </row>
    <row r="421" spans="1:7" ht="22.5" customHeight="1">
      <c r="A421" s="7"/>
      <c r="B421" s="7"/>
      <c r="C421" s="7"/>
      <c r="D421" s="7"/>
      <c r="E421" s="7"/>
      <c r="F421" s="7"/>
      <c r="G421" s="7"/>
    </row>
    <row r="422" spans="1:7" ht="22.5" customHeight="1">
      <c r="A422" s="7"/>
      <c r="B422" s="7"/>
      <c r="C422" s="7"/>
      <c r="D422" s="7"/>
      <c r="E422" s="7"/>
      <c r="F422" s="7"/>
      <c r="G422" s="7"/>
    </row>
    <row r="423" spans="1:7" ht="22.5" customHeight="1">
      <c r="A423" s="7"/>
      <c r="B423" s="7"/>
      <c r="C423" s="7"/>
      <c r="D423" s="7"/>
      <c r="E423" s="7"/>
      <c r="F423" s="7"/>
      <c r="G423" s="7"/>
    </row>
    <row r="424" spans="1:7" ht="22.5" customHeight="1">
      <c r="A424" s="7"/>
      <c r="B424" s="7"/>
      <c r="C424" s="7"/>
      <c r="D424" s="7"/>
      <c r="E424" s="7"/>
      <c r="F424" s="7"/>
      <c r="G424" s="7"/>
    </row>
    <row r="425" spans="1:7" ht="22.5" customHeight="1">
      <c r="A425" s="7"/>
      <c r="B425" s="7"/>
      <c r="C425" s="7"/>
      <c r="D425" s="7"/>
      <c r="E425" s="7"/>
      <c r="F425" s="7"/>
      <c r="G425" s="7"/>
    </row>
    <row r="426" spans="1:7" ht="22.5" customHeight="1">
      <c r="A426" s="7"/>
      <c r="B426" s="7"/>
      <c r="C426" s="7"/>
      <c r="D426" s="7"/>
      <c r="E426" s="7"/>
      <c r="F426" s="7"/>
      <c r="G426" s="7"/>
    </row>
    <row r="427" spans="1:7" ht="22.5" customHeight="1">
      <c r="A427" s="7"/>
      <c r="B427" s="7"/>
      <c r="C427" s="7"/>
      <c r="D427" s="7"/>
      <c r="E427" s="7"/>
      <c r="F427" s="7"/>
      <c r="G427" s="7"/>
    </row>
    <row r="428" spans="1:7" ht="22.5" customHeight="1">
      <c r="A428" s="7"/>
      <c r="B428" s="7"/>
      <c r="C428" s="7"/>
      <c r="D428" s="7"/>
      <c r="E428" s="7"/>
      <c r="F428" s="7"/>
      <c r="G428" s="7"/>
    </row>
    <row r="429" spans="1:7" ht="22.5" customHeight="1">
      <c r="A429" s="7"/>
      <c r="B429" s="7"/>
      <c r="C429" s="7"/>
      <c r="D429" s="7"/>
      <c r="E429" s="7"/>
      <c r="F429" s="7"/>
      <c r="G429" s="7"/>
    </row>
    <row r="430" spans="1:7" ht="22.5" customHeight="1">
      <c r="A430" s="7"/>
      <c r="B430" s="7"/>
      <c r="C430" s="7"/>
      <c r="D430" s="7"/>
      <c r="E430" s="7"/>
      <c r="F430" s="7"/>
      <c r="G430" s="7"/>
    </row>
    <row r="431" spans="1:7" ht="22.5" customHeight="1">
      <c r="A431" s="7"/>
      <c r="B431" s="7"/>
      <c r="C431" s="7"/>
      <c r="D431" s="7"/>
      <c r="E431" s="7"/>
      <c r="F431" s="7"/>
      <c r="G431" s="7"/>
    </row>
    <row r="432" spans="1:7" ht="22.5" customHeight="1">
      <c r="A432" s="7"/>
      <c r="B432" s="7"/>
      <c r="C432" s="7"/>
      <c r="D432" s="7"/>
      <c r="E432" s="7"/>
      <c r="F432" s="7"/>
      <c r="G432" s="7"/>
    </row>
    <row r="433" spans="1:7" ht="22.5" customHeight="1">
      <c r="A433" s="7"/>
      <c r="B433" s="7"/>
      <c r="C433" s="7"/>
      <c r="D433" s="7"/>
      <c r="E433" s="7"/>
      <c r="F433" s="7"/>
      <c r="G433" s="7"/>
    </row>
    <row r="434" spans="1:7" ht="22.5" customHeight="1">
      <c r="A434" s="7"/>
      <c r="B434" s="7"/>
      <c r="C434" s="7"/>
      <c r="D434" s="7"/>
      <c r="E434" s="7"/>
      <c r="F434" s="7"/>
      <c r="G434" s="7"/>
    </row>
    <row r="435" spans="1:7" ht="22.5" customHeight="1">
      <c r="A435" s="7"/>
      <c r="B435" s="7"/>
      <c r="C435" s="7"/>
      <c r="D435" s="7"/>
      <c r="E435" s="7"/>
      <c r="F435" s="7"/>
      <c r="G435" s="7"/>
    </row>
    <row r="436" spans="1:7" ht="22.5" customHeight="1">
      <c r="A436" s="7"/>
      <c r="B436" s="7"/>
      <c r="C436" s="7"/>
      <c r="D436" s="7"/>
      <c r="E436" s="7"/>
      <c r="F436" s="7"/>
      <c r="G436" s="7"/>
    </row>
    <row r="437" spans="1:7" ht="22.5" customHeight="1">
      <c r="A437" s="7"/>
      <c r="B437" s="7"/>
      <c r="C437" s="7"/>
      <c r="D437" s="7"/>
      <c r="E437" s="7"/>
      <c r="F437" s="7"/>
      <c r="G437" s="7"/>
    </row>
    <row r="438" spans="1:7" ht="22.5" customHeight="1">
      <c r="A438" s="7"/>
      <c r="B438" s="7"/>
      <c r="C438" s="7"/>
      <c r="D438" s="7"/>
      <c r="E438" s="7"/>
      <c r="F438" s="7"/>
      <c r="G438" s="7"/>
    </row>
    <row r="439" spans="1:7" ht="22.5" customHeight="1">
      <c r="A439" s="7"/>
      <c r="B439" s="7"/>
      <c r="C439" s="7"/>
      <c r="D439" s="7"/>
      <c r="E439" s="7"/>
      <c r="F439" s="7"/>
      <c r="G439" s="7"/>
    </row>
    <row r="440" spans="1:7" ht="22.5" customHeight="1">
      <c r="A440" s="7"/>
      <c r="B440" s="7"/>
      <c r="C440" s="7"/>
      <c r="D440" s="7"/>
      <c r="E440" s="7"/>
      <c r="F440" s="7"/>
      <c r="G440" s="7"/>
    </row>
    <row r="441" spans="1:7" ht="22.5" customHeight="1">
      <c r="A441" s="7"/>
      <c r="B441" s="7"/>
      <c r="C441" s="7"/>
      <c r="D441" s="7"/>
      <c r="E441" s="7"/>
      <c r="F441" s="7"/>
      <c r="G441" s="7"/>
    </row>
    <row r="442" spans="1:7" ht="22.5" customHeight="1">
      <c r="A442" s="7"/>
      <c r="B442" s="7"/>
      <c r="C442" s="7"/>
      <c r="D442" s="7"/>
      <c r="E442" s="7"/>
      <c r="F442" s="7"/>
      <c r="G442" s="7"/>
    </row>
    <row r="443" spans="1:7" ht="22.5" customHeight="1">
      <c r="A443" s="7"/>
      <c r="B443" s="7"/>
      <c r="C443" s="7"/>
      <c r="D443" s="7"/>
      <c r="E443" s="7"/>
      <c r="F443" s="7"/>
      <c r="G443" s="7"/>
    </row>
    <row r="444" spans="1:7" ht="22.5" customHeight="1">
      <c r="A444" s="7"/>
      <c r="B444" s="7"/>
      <c r="C444" s="7"/>
      <c r="D444" s="7"/>
      <c r="E444" s="7"/>
      <c r="F444" s="7"/>
      <c r="G444" s="7"/>
    </row>
    <row r="445" spans="1:7" ht="22.5" customHeight="1">
      <c r="A445" s="7"/>
      <c r="B445" s="7"/>
      <c r="C445" s="7"/>
      <c r="D445" s="7"/>
      <c r="E445" s="7"/>
      <c r="F445" s="7"/>
      <c r="G445" s="7"/>
    </row>
    <row r="446" spans="1:7" ht="22.5" customHeight="1">
      <c r="A446" s="7"/>
      <c r="B446" s="7"/>
      <c r="C446" s="7"/>
      <c r="D446" s="7"/>
      <c r="E446" s="7"/>
      <c r="F446" s="7"/>
      <c r="G446" s="7"/>
    </row>
    <row r="447" spans="1:7" ht="22.5" customHeight="1">
      <c r="A447" s="7"/>
      <c r="B447" s="7"/>
      <c r="C447" s="7"/>
      <c r="D447" s="7"/>
      <c r="E447" s="7"/>
      <c r="F447" s="7"/>
      <c r="G447" s="7"/>
    </row>
    <row r="448" spans="1:7" ht="22.5" customHeight="1">
      <c r="A448" s="7"/>
      <c r="B448" s="7"/>
      <c r="C448" s="7"/>
      <c r="D448" s="7"/>
      <c r="E448" s="7"/>
      <c r="F448" s="7"/>
      <c r="G448" s="7"/>
    </row>
    <row r="449" spans="1:7" ht="22.5" customHeight="1">
      <c r="A449" s="7"/>
      <c r="B449" s="7"/>
      <c r="C449" s="7"/>
      <c r="D449" s="7"/>
      <c r="E449" s="7"/>
      <c r="F449" s="7"/>
      <c r="G449" s="7"/>
    </row>
    <row r="450" spans="1:7" ht="22.5" customHeight="1">
      <c r="A450" s="7"/>
      <c r="B450" s="7"/>
      <c r="C450" s="7"/>
      <c r="D450" s="7"/>
      <c r="E450" s="7"/>
      <c r="F450" s="7"/>
      <c r="G450" s="7"/>
    </row>
    <row r="451" spans="1:7" ht="22.5" customHeight="1">
      <c r="A451" s="7"/>
      <c r="B451" s="7"/>
      <c r="C451" s="7"/>
      <c r="D451" s="7"/>
      <c r="E451" s="7"/>
      <c r="F451" s="7"/>
      <c r="G451" s="7"/>
    </row>
    <row r="452" spans="1:7" ht="22.5" customHeight="1">
      <c r="A452" s="7"/>
      <c r="B452" s="7"/>
      <c r="C452" s="7"/>
      <c r="D452" s="7"/>
      <c r="E452" s="7"/>
      <c r="F452" s="7"/>
      <c r="G452" s="7"/>
    </row>
    <row r="453" spans="1:7" ht="22.5" customHeight="1">
      <c r="A453" s="7"/>
      <c r="B453" s="7"/>
      <c r="C453" s="7"/>
      <c r="D453" s="7"/>
      <c r="E453" s="7"/>
      <c r="F453" s="7"/>
      <c r="G453" s="7"/>
    </row>
    <row r="454" spans="1:7" ht="22.5" customHeight="1">
      <c r="A454" s="7"/>
      <c r="B454" s="7"/>
      <c r="C454" s="7"/>
      <c r="D454" s="7"/>
      <c r="E454" s="7"/>
      <c r="F454" s="7"/>
      <c r="G454" s="7"/>
    </row>
    <row r="455" spans="1:7" ht="22.5" customHeight="1">
      <c r="A455" s="7"/>
      <c r="B455" s="7"/>
      <c r="C455" s="7"/>
      <c r="D455" s="7"/>
      <c r="E455" s="7"/>
      <c r="F455" s="7"/>
      <c r="G455" s="7"/>
    </row>
    <row r="456" spans="1:7" ht="22.5" customHeight="1">
      <c r="A456" s="7"/>
      <c r="B456" s="7"/>
      <c r="C456" s="7"/>
      <c r="D456" s="7"/>
      <c r="E456" s="7"/>
      <c r="F456" s="7"/>
      <c r="G456" s="7"/>
    </row>
    <row r="457" spans="1:7" ht="22.5" customHeight="1">
      <c r="A457" s="7"/>
      <c r="B457" s="7"/>
      <c r="C457" s="7"/>
      <c r="D457" s="7"/>
      <c r="E457" s="7"/>
      <c r="F457" s="7"/>
      <c r="G457" s="7"/>
    </row>
    <row r="458" spans="1:7" ht="22.5" customHeight="1">
      <c r="A458" s="7"/>
      <c r="B458" s="7"/>
      <c r="C458" s="7"/>
      <c r="D458" s="7"/>
      <c r="E458" s="7"/>
      <c r="F458" s="7"/>
      <c r="G458" s="7"/>
    </row>
    <row r="459" spans="1:7" ht="22.5" customHeight="1">
      <c r="A459" s="7"/>
      <c r="B459" s="7"/>
      <c r="C459" s="7"/>
      <c r="D459" s="7"/>
      <c r="E459" s="7"/>
      <c r="F459" s="7"/>
      <c r="G459" s="7"/>
    </row>
    <row r="460" spans="1:7" ht="22.5" customHeight="1">
      <c r="A460" s="7"/>
      <c r="B460" s="7"/>
      <c r="C460" s="7"/>
      <c r="D460" s="7"/>
      <c r="E460" s="7"/>
      <c r="F460" s="7"/>
      <c r="G460" s="7"/>
    </row>
    <row r="461" spans="1:7" ht="22.5" customHeight="1">
      <c r="A461" s="7"/>
      <c r="B461" s="7"/>
      <c r="C461" s="7"/>
      <c r="D461" s="7"/>
      <c r="E461" s="7"/>
      <c r="F461" s="7"/>
      <c r="G461" s="7"/>
    </row>
    <row r="462" spans="1:7" ht="22.5" customHeight="1">
      <c r="A462" s="7"/>
      <c r="B462" s="7"/>
      <c r="C462" s="7"/>
      <c r="D462" s="7"/>
      <c r="E462" s="7"/>
      <c r="F462" s="7"/>
      <c r="G462" s="7"/>
    </row>
    <row r="463" spans="1:7" ht="22.5" customHeight="1">
      <c r="A463" s="7"/>
      <c r="B463" s="7"/>
      <c r="C463" s="7"/>
      <c r="D463" s="7"/>
      <c r="E463" s="7"/>
      <c r="F463" s="7"/>
      <c r="G463" s="7"/>
    </row>
    <row r="464" spans="1:7" ht="22.5" customHeight="1">
      <c r="A464" s="7"/>
      <c r="B464" s="7"/>
      <c r="C464" s="7"/>
      <c r="D464" s="7"/>
      <c r="E464" s="7"/>
      <c r="F464" s="7"/>
      <c r="G464" s="7"/>
    </row>
    <row r="465" spans="1:7" ht="22.5" customHeight="1">
      <c r="A465" s="7"/>
      <c r="B465" s="7"/>
      <c r="C465" s="7"/>
      <c r="D465" s="7"/>
      <c r="E465" s="7"/>
      <c r="F465" s="7"/>
      <c r="G465" s="7"/>
    </row>
    <row r="466" spans="1:7" ht="22.5" customHeight="1">
      <c r="A466" s="7"/>
      <c r="B466" s="7"/>
      <c r="C466" s="7"/>
      <c r="D466" s="7"/>
      <c r="E466" s="7"/>
      <c r="F466" s="7"/>
      <c r="G466" s="7"/>
    </row>
    <row r="467" spans="1:7" ht="22.5" customHeight="1">
      <c r="A467" s="7"/>
      <c r="B467" s="7"/>
      <c r="C467" s="7"/>
      <c r="D467" s="7"/>
      <c r="E467" s="7"/>
      <c r="F467" s="7"/>
      <c r="G467" s="7"/>
    </row>
    <row r="468" spans="1:7" ht="22.5" customHeight="1">
      <c r="A468" s="7"/>
      <c r="B468" s="7"/>
      <c r="C468" s="7"/>
      <c r="D468" s="7"/>
      <c r="E468" s="7"/>
      <c r="F468" s="7"/>
      <c r="G468" s="7"/>
    </row>
    <row r="469" spans="1:7" ht="22.5" customHeight="1">
      <c r="A469" s="7"/>
      <c r="B469" s="7"/>
      <c r="C469" s="7"/>
      <c r="D469" s="7"/>
      <c r="E469" s="7"/>
      <c r="F469" s="7"/>
      <c r="G469" s="7"/>
    </row>
    <row r="470" spans="1:7" ht="22.5" customHeight="1">
      <c r="A470" s="7"/>
      <c r="B470" s="7"/>
      <c r="C470" s="7"/>
      <c r="D470" s="7"/>
      <c r="E470" s="7"/>
      <c r="F470" s="7"/>
      <c r="G470" s="7"/>
    </row>
    <row r="471" spans="1:7" ht="22.5" customHeight="1">
      <c r="A471" s="7"/>
      <c r="B471" s="7"/>
      <c r="C471" s="7"/>
      <c r="D471" s="7"/>
      <c r="E471" s="7"/>
      <c r="F471" s="7"/>
      <c r="G471" s="7"/>
    </row>
    <row r="472" spans="1:7" ht="22.5" customHeight="1">
      <c r="A472" s="7"/>
      <c r="B472" s="7"/>
      <c r="C472" s="7"/>
      <c r="D472" s="7"/>
      <c r="E472" s="7"/>
      <c r="F472" s="7"/>
      <c r="G472" s="7"/>
    </row>
    <row r="473" spans="1:7" ht="22.5" customHeight="1">
      <c r="A473" s="7"/>
      <c r="B473" s="7"/>
      <c r="C473" s="7"/>
      <c r="D473" s="7"/>
      <c r="E473" s="7"/>
      <c r="F473" s="7"/>
      <c r="G473" s="7"/>
    </row>
    <row r="474" spans="1:7" ht="22.5" customHeight="1">
      <c r="A474" s="7"/>
      <c r="B474" s="7"/>
      <c r="C474" s="7"/>
      <c r="D474" s="7"/>
      <c r="E474" s="7"/>
      <c r="F474" s="7"/>
      <c r="G474" s="7"/>
    </row>
    <row r="475" spans="1:7" ht="22.5" customHeight="1">
      <c r="A475" s="7"/>
      <c r="B475" s="7"/>
      <c r="C475" s="7"/>
      <c r="D475" s="7"/>
      <c r="E475" s="7"/>
      <c r="F475" s="7"/>
      <c r="G475" s="7"/>
    </row>
    <row r="476" spans="1:7" ht="22.5" customHeight="1">
      <c r="A476" s="7"/>
      <c r="B476" s="7"/>
      <c r="C476" s="7"/>
      <c r="D476" s="7"/>
      <c r="E476" s="7"/>
      <c r="F476" s="7"/>
      <c r="G476" s="7"/>
    </row>
    <row r="477" spans="1:7" ht="22.5" customHeight="1">
      <c r="A477" s="7"/>
      <c r="B477" s="7"/>
      <c r="C477" s="7"/>
      <c r="D477" s="7"/>
      <c r="E477" s="7"/>
      <c r="F477" s="7"/>
      <c r="G477" s="7"/>
    </row>
    <row r="478" spans="1:7" ht="22.5" customHeight="1">
      <c r="A478" s="7"/>
      <c r="B478" s="7"/>
      <c r="C478" s="7"/>
      <c r="D478" s="7"/>
      <c r="E478" s="7"/>
      <c r="F478" s="7"/>
      <c r="G478" s="7"/>
    </row>
    <row r="479" spans="1:7" ht="22.5" customHeight="1">
      <c r="A479" s="7"/>
      <c r="B479" s="7"/>
      <c r="C479" s="7"/>
      <c r="D479" s="7"/>
      <c r="E479" s="7"/>
      <c r="F479" s="7"/>
      <c r="G479" s="7"/>
    </row>
    <row r="480" spans="1:7" ht="22.5" customHeight="1">
      <c r="A480" s="7"/>
      <c r="B480" s="7"/>
      <c r="C480" s="7"/>
      <c r="D480" s="7"/>
      <c r="E480" s="7"/>
      <c r="F480" s="7"/>
      <c r="G480" s="7"/>
    </row>
    <row r="481" spans="1:7" ht="22.5" customHeight="1">
      <c r="A481" s="7"/>
      <c r="B481" s="7"/>
      <c r="C481" s="7"/>
      <c r="D481" s="7"/>
      <c r="E481" s="7"/>
      <c r="F481" s="7"/>
      <c r="G481" s="7"/>
    </row>
    <row r="482" spans="1:7" ht="22.5" customHeight="1">
      <c r="A482" s="7"/>
      <c r="B482" s="7"/>
      <c r="C482" s="7"/>
      <c r="D482" s="7"/>
      <c r="E482" s="7"/>
      <c r="F482" s="7"/>
      <c r="G482" s="7"/>
    </row>
    <row r="483" spans="1:7" ht="22.5" customHeight="1">
      <c r="A483" s="7"/>
      <c r="B483" s="7"/>
      <c r="C483" s="7"/>
      <c r="D483" s="7"/>
      <c r="E483" s="7"/>
      <c r="F483" s="7"/>
      <c r="G483" s="7"/>
    </row>
    <row r="484" spans="1:7" ht="22.5" customHeight="1">
      <c r="A484" s="7"/>
      <c r="B484" s="7"/>
      <c r="C484" s="7"/>
      <c r="D484" s="7"/>
      <c r="E484" s="7"/>
      <c r="F484" s="7"/>
      <c r="G484" s="7"/>
    </row>
    <row r="485" spans="1:7" ht="22.5" customHeight="1">
      <c r="A485" s="7"/>
      <c r="B485" s="7"/>
      <c r="C485" s="7"/>
      <c r="D485" s="7"/>
      <c r="E485" s="7"/>
      <c r="F485" s="7"/>
      <c r="G485" s="7"/>
    </row>
    <row r="486" spans="1:7" ht="22.5" customHeight="1">
      <c r="A486" s="7"/>
      <c r="B486" s="7"/>
      <c r="C486" s="7"/>
      <c r="D486" s="7"/>
      <c r="E486" s="7"/>
      <c r="F486" s="7"/>
      <c r="G486" s="7"/>
    </row>
    <row r="487" spans="1:7" ht="22.5" customHeight="1">
      <c r="A487" s="7"/>
      <c r="B487" s="7"/>
      <c r="C487" s="7"/>
      <c r="D487" s="7"/>
      <c r="E487" s="7"/>
      <c r="F487" s="7"/>
      <c r="G487" s="7"/>
    </row>
    <row r="488" spans="1:7" ht="22.5" customHeight="1">
      <c r="A488" s="7"/>
      <c r="B488" s="7"/>
      <c r="C488" s="7"/>
      <c r="D488" s="7"/>
      <c r="E488" s="7"/>
      <c r="F488" s="7"/>
      <c r="G488" s="7"/>
    </row>
    <row r="489" spans="1:7" ht="22.5" customHeight="1">
      <c r="A489" s="7"/>
      <c r="B489" s="7"/>
      <c r="C489" s="7"/>
      <c r="D489" s="7"/>
      <c r="E489" s="7"/>
      <c r="F489" s="7"/>
      <c r="G489" s="7"/>
    </row>
    <row r="490" spans="1:7" ht="22.5" customHeight="1">
      <c r="A490" s="7"/>
      <c r="B490" s="7"/>
      <c r="C490" s="7"/>
      <c r="D490" s="7"/>
      <c r="E490" s="7"/>
      <c r="F490" s="7"/>
      <c r="G490" s="7"/>
    </row>
    <row r="491" spans="1:7" ht="22.5" customHeight="1">
      <c r="A491" s="7"/>
      <c r="B491" s="7"/>
      <c r="C491" s="7"/>
      <c r="D491" s="7"/>
      <c r="E491" s="7"/>
      <c r="F491" s="7"/>
      <c r="G491" s="7"/>
    </row>
    <row r="492" spans="1:7" ht="22.5" customHeight="1">
      <c r="A492" s="7"/>
      <c r="B492" s="7"/>
      <c r="C492" s="7"/>
      <c r="D492" s="7"/>
      <c r="E492" s="7"/>
      <c r="F492" s="7"/>
      <c r="G492" s="7"/>
    </row>
    <row r="493" spans="1:7" ht="22.5" customHeight="1">
      <c r="A493" s="7"/>
      <c r="B493" s="7"/>
      <c r="C493" s="7"/>
      <c r="D493" s="7"/>
      <c r="E493" s="7"/>
      <c r="F493" s="7"/>
      <c r="G493" s="7"/>
    </row>
    <row r="494" spans="1:7" ht="22.5" customHeight="1">
      <c r="A494" s="7"/>
      <c r="B494" s="7"/>
      <c r="C494" s="7"/>
      <c r="D494" s="7"/>
      <c r="E494" s="7"/>
      <c r="F494" s="7"/>
      <c r="G494" s="7"/>
    </row>
    <row r="495" spans="1:7" ht="22.5" customHeight="1">
      <c r="A495" s="7"/>
      <c r="B495" s="7"/>
      <c r="C495" s="7"/>
      <c r="D495" s="7"/>
      <c r="E495" s="7"/>
      <c r="F495" s="7"/>
      <c r="G495" s="7"/>
    </row>
    <row r="496" spans="1:7" ht="22.5" customHeight="1">
      <c r="A496" s="7"/>
      <c r="B496" s="7"/>
      <c r="C496" s="7"/>
      <c r="D496" s="7"/>
      <c r="E496" s="7"/>
      <c r="F496" s="7"/>
      <c r="G496" s="7"/>
    </row>
    <row r="497" spans="1:7" ht="22.5" customHeight="1">
      <c r="A497" s="7"/>
      <c r="B497" s="7"/>
      <c r="C497" s="7"/>
      <c r="D497" s="7"/>
      <c r="E497" s="7"/>
      <c r="F497" s="7"/>
      <c r="G497" s="7"/>
    </row>
    <row r="498" spans="1:7" ht="22.5" customHeight="1">
      <c r="A498" s="7"/>
      <c r="B498" s="7"/>
      <c r="C498" s="7"/>
      <c r="D498" s="7"/>
      <c r="E498" s="7"/>
      <c r="F498" s="7"/>
      <c r="G498" s="7"/>
    </row>
    <row r="499" spans="1:7" ht="22.5" customHeight="1">
      <c r="A499" s="7"/>
      <c r="B499" s="7"/>
      <c r="C499" s="7"/>
      <c r="D499" s="7"/>
      <c r="E499" s="7"/>
      <c r="F499" s="7"/>
      <c r="G499" s="7"/>
    </row>
    <row r="500" spans="1:7" ht="22.5" customHeight="1">
      <c r="A500" s="7"/>
      <c r="B500" s="7"/>
      <c r="C500" s="7"/>
      <c r="D500" s="7"/>
      <c r="E500" s="7"/>
      <c r="F500" s="7"/>
      <c r="G500" s="7"/>
    </row>
    <row r="501" spans="1:7" ht="22.5" customHeight="1">
      <c r="A501" s="7"/>
      <c r="B501" s="7"/>
      <c r="C501" s="7"/>
      <c r="D501" s="7"/>
      <c r="E501" s="7"/>
      <c r="F501" s="7"/>
      <c r="G501" s="7"/>
    </row>
    <row r="502" spans="1:7" ht="22.5" customHeight="1">
      <c r="A502" s="7"/>
      <c r="B502" s="7"/>
      <c r="C502" s="7"/>
      <c r="D502" s="7"/>
      <c r="E502" s="7"/>
      <c r="F502" s="7"/>
      <c r="G502" s="7"/>
    </row>
    <row r="503" spans="1:7" ht="22.5" customHeight="1">
      <c r="A503" s="7"/>
      <c r="B503" s="7"/>
      <c r="C503" s="7"/>
      <c r="D503" s="7"/>
      <c r="E503" s="7"/>
      <c r="F503" s="7"/>
      <c r="G503" s="7"/>
    </row>
    <row r="504" spans="1:7" ht="22.5" customHeight="1">
      <c r="A504" s="7"/>
      <c r="B504" s="7"/>
      <c r="C504" s="7"/>
      <c r="D504" s="7"/>
      <c r="E504" s="7"/>
      <c r="F504" s="7"/>
      <c r="G504" s="7"/>
    </row>
    <row r="505" spans="1:7" ht="22.5" customHeight="1">
      <c r="A505" s="7"/>
      <c r="B505" s="7"/>
      <c r="C505" s="7"/>
      <c r="D505" s="7"/>
      <c r="E505" s="7"/>
      <c r="F505" s="7"/>
      <c r="G505" s="7"/>
    </row>
    <row r="506" spans="1:7" ht="22.5" customHeight="1">
      <c r="A506" s="7"/>
      <c r="B506" s="7"/>
      <c r="C506" s="7"/>
      <c r="D506" s="7"/>
      <c r="E506" s="7"/>
      <c r="F506" s="7"/>
      <c r="G506" s="7"/>
    </row>
    <row r="507" spans="1:7" ht="22.5" customHeight="1">
      <c r="A507" s="7"/>
      <c r="B507" s="7"/>
      <c r="C507" s="7"/>
      <c r="D507" s="7"/>
      <c r="E507" s="7"/>
      <c r="F507" s="7"/>
      <c r="G507" s="7"/>
    </row>
    <row r="508" spans="1:7" ht="22.5" customHeight="1">
      <c r="A508" s="7"/>
      <c r="B508" s="7"/>
      <c r="C508" s="7"/>
      <c r="D508" s="7"/>
      <c r="E508" s="7"/>
      <c r="F508" s="7"/>
      <c r="G508" s="7"/>
    </row>
    <row r="509" spans="1:7" ht="22.5" customHeight="1">
      <c r="A509" s="7"/>
      <c r="B509" s="7"/>
      <c r="C509" s="7"/>
      <c r="D509" s="7"/>
      <c r="E509" s="7"/>
      <c r="F509" s="7"/>
      <c r="G509" s="7"/>
    </row>
    <row r="510" spans="1:7" ht="22.5" customHeight="1">
      <c r="A510" s="7"/>
      <c r="B510" s="7"/>
      <c r="C510" s="7"/>
      <c r="D510" s="7"/>
      <c r="E510" s="7"/>
      <c r="F510" s="7"/>
      <c r="G510" s="7"/>
    </row>
    <row r="511" spans="1:7" ht="22.5" customHeight="1">
      <c r="A511" s="7"/>
      <c r="B511" s="7"/>
      <c r="C511" s="7"/>
      <c r="D511" s="7"/>
      <c r="E511" s="7"/>
      <c r="F511" s="7"/>
      <c r="G511" s="7"/>
    </row>
    <row r="512" spans="1:7" ht="22.5" customHeight="1">
      <c r="A512" s="7"/>
      <c r="B512" s="7"/>
      <c r="C512" s="7"/>
      <c r="D512" s="7"/>
      <c r="E512" s="7"/>
      <c r="F512" s="7"/>
      <c r="G512" s="7"/>
    </row>
    <row r="513" spans="1:7" ht="22.5" customHeight="1">
      <c r="A513" s="7"/>
      <c r="B513" s="7"/>
      <c r="C513" s="7"/>
      <c r="D513" s="7"/>
      <c r="E513" s="7"/>
      <c r="F513" s="7"/>
      <c r="G513" s="7"/>
    </row>
    <row r="514" spans="1:7" ht="22.5" customHeight="1">
      <c r="A514" s="7"/>
      <c r="B514" s="7"/>
      <c r="C514" s="7"/>
      <c r="D514" s="7"/>
      <c r="E514" s="7"/>
      <c r="F514" s="7"/>
      <c r="G514" s="7"/>
    </row>
    <row r="515" spans="1:7" ht="22.5" customHeight="1">
      <c r="A515" s="7"/>
      <c r="B515" s="7"/>
      <c r="C515" s="7"/>
      <c r="D515" s="7"/>
      <c r="E515" s="7"/>
      <c r="F515" s="7"/>
      <c r="G515" s="7"/>
    </row>
    <row r="516" spans="1:7" ht="22.5" customHeight="1">
      <c r="A516" s="7"/>
      <c r="B516" s="7"/>
      <c r="C516" s="7"/>
      <c r="D516" s="7"/>
      <c r="E516" s="7"/>
      <c r="F516" s="7"/>
      <c r="G516" s="7"/>
    </row>
    <row r="517" spans="1:7" ht="22.5" customHeight="1">
      <c r="A517" s="7"/>
      <c r="B517" s="7"/>
      <c r="C517" s="7"/>
      <c r="D517" s="7"/>
      <c r="E517" s="7"/>
      <c r="F517" s="7"/>
      <c r="G517" s="7"/>
    </row>
    <row r="518" spans="1:7" ht="22.5" customHeight="1">
      <c r="A518" s="7"/>
      <c r="B518" s="7"/>
      <c r="C518" s="7"/>
      <c r="D518" s="7"/>
      <c r="E518" s="7"/>
      <c r="F518" s="7"/>
      <c r="G518" s="7"/>
    </row>
    <row r="519" spans="1:7" ht="22.5" customHeight="1">
      <c r="A519" s="7"/>
      <c r="B519" s="7"/>
      <c r="C519" s="7"/>
      <c r="D519" s="7"/>
      <c r="E519" s="7"/>
      <c r="F519" s="7"/>
      <c r="G519" s="7"/>
    </row>
    <row r="520" spans="1:7" ht="22.5" customHeight="1">
      <c r="A520" s="7"/>
      <c r="B520" s="7"/>
      <c r="C520" s="7"/>
      <c r="D520" s="7"/>
      <c r="E520" s="7"/>
      <c r="F520" s="7"/>
      <c r="G520" s="7"/>
    </row>
    <row r="521" spans="1:7" ht="22.5" customHeight="1">
      <c r="A521" s="7"/>
      <c r="B521" s="7"/>
      <c r="C521" s="7"/>
      <c r="D521" s="7"/>
      <c r="E521" s="7"/>
      <c r="F521" s="7"/>
      <c r="G521" s="7"/>
    </row>
    <row r="522" spans="1:7" ht="22.5" customHeight="1">
      <c r="A522" s="7"/>
      <c r="B522" s="7"/>
      <c r="C522" s="7"/>
      <c r="D522" s="7"/>
      <c r="E522" s="7"/>
      <c r="F522" s="7"/>
      <c r="G522" s="7"/>
    </row>
    <row r="523" spans="1:7" ht="22.5" customHeight="1">
      <c r="A523" s="7"/>
      <c r="B523" s="7"/>
      <c r="C523" s="7"/>
      <c r="D523" s="7"/>
      <c r="E523" s="7"/>
      <c r="F523" s="7"/>
      <c r="G523" s="7"/>
    </row>
    <row r="524" spans="1:7" ht="22.5" customHeight="1">
      <c r="A524" s="7"/>
      <c r="B524" s="7"/>
      <c r="C524" s="7"/>
      <c r="D524" s="7"/>
      <c r="E524" s="7"/>
      <c r="F524" s="7"/>
      <c r="G524" s="7"/>
    </row>
    <row r="525" spans="1:7" ht="22.5" customHeight="1">
      <c r="A525" s="7"/>
      <c r="B525" s="7"/>
      <c r="C525" s="7"/>
      <c r="D525" s="7"/>
      <c r="E525" s="7"/>
      <c r="F525" s="7"/>
      <c r="G525" s="7"/>
    </row>
    <row r="526" spans="1:7" ht="22.5" customHeight="1">
      <c r="A526" s="7"/>
      <c r="B526" s="7"/>
      <c r="C526" s="7"/>
      <c r="D526" s="7"/>
      <c r="E526" s="7"/>
      <c r="F526" s="7"/>
      <c r="G526" s="7"/>
    </row>
    <row r="527" spans="1:7" ht="22.5" customHeight="1">
      <c r="A527" s="7"/>
      <c r="B527" s="7"/>
      <c r="C527" s="7"/>
      <c r="D527" s="7"/>
      <c r="E527" s="7"/>
      <c r="F527" s="7"/>
      <c r="G527" s="7"/>
    </row>
    <row r="528" spans="1:7" ht="22.5" customHeight="1">
      <c r="A528" s="7"/>
      <c r="B528" s="7"/>
      <c r="C528" s="7"/>
      <c r="D528" s="7"/>
      <c r="E528" s="7"/>
      <c r="F528" s="7"/>
      <c r="G528" s="7"/>
    </row>
    <row r="529" spans="1:7" ht="22.5" customHeight="1">
      <c r="A529" s="7"/>
      <c r="B529" s="7"/>
      <c r="C529" s="7"/>
      <c r="D529" s="7"/>
      <c r="E529" s="7"/>
      <c r="F529" s="7"/>
      <c r="G529" s="7"/>
    </row>
    <row r="530" spans="1:7" ht="22.5" customHeight="1">
      <c r="A530" s="7"/>
      <c r="B530" s="7"/>
      <c r="C530" s="7"/>
      <c r="D530" s="7"/>
      <c r="E530" s="7"/>
      <c r="F530" s="7"/>
      <c r="G530" s="7"/>
    </row>
    <row r="531" spans="1:7" ht="22.5" customHeight="1">
      <c r="A531" s="7"/>
      <c r="B531" s="7"/>
      <c r="C531" s="7"/>
      <c r="D531" s="7"/>
      <c r="E531" s="7"/>
      <c r="F531" s="7"/>
      <c r="G531" s="7"/>
    </row>
    <row r="532" spans="1:7" ht="22.5" customHeight="1">
      <c r="A532" s="7"/>
      <c r="B532" s="7"/>
      <c r="C532" s="7"/>
      <c r="D532" s="7"/>
      <c r="E532" s="7"/>
      <c r="F532" s="7"/>
      <c r="G532" s="7"/>
    </row>
    <row r="533" spans="1:7" ht="22.5" customHeight="1">
      <c r="A533" s="7"/>
      <c r="B533" s="7"/>
      <c r="C533" s="7"/>
      <c r="D533" s="7"/>
      <c r="E533" s="7"/>
      <c r="F533" s="7"/>
      <c r="G533" s="7"/>
    </row>
    <row r="534" spans="1:7" ht="22.5" customHeight="1">
      <c r="A534" s="7"/>
      <c r="B534" s="7"/>
      <c r="C534" s="7"/>
      <c r="D534" s="7"/>
      <c r="E534" s="7"/>
      <c r="F534" s="7"/>
      <c r="G534" s="7"/>
    </row>
    <row r="535" spans="1:7" ht="22.5" customHeight="1">
      <c r="A535" s="7"/>
      <c r="B535" s="7"/>
      <c r="C535" s="7"/>
      <c r="D535" s="7"/>
      <c r="E535" s="7"/>
      <c r="F535" s="7"/>
      <c r="G535" s="7"/>
    </row>
    <row r="536" spans="1:7" ht="22.5" customHeight="1">
      <c r="A536" s="7"/>
      <c r="B536" s="7"/>
      <c r="C536" s="7"/>
      <c r="D536" s="7"/>
      <c r="E536" s="7"/>
      <c r="F536" s="7"/>
      <c r="G536" s="7"/>
    </row>
    <row r="537" spans="1:7" ht="22.5" customHeight="1">
      <c r="A537" s="7"/>
      <c r="B537" s="7"/>
      <c r="C537" s="7"/>
      <c r="D537" s="7"/>
      <c r="E537" s="7"/>
      <c r="F537" s="7"/>
      <c r="G537" s="7"/>
    </row>
    <row r="538" spans="1:7" ht="22.5" customHeight="1">
      <c r="A538" s="7"/>
      <c r="B538" s="7"/>
      <c r="C538" s="7"/>
      <c r="D538" s="7"/>
      <c r="E538" s="7"/>
      <c r="F538" s="7"/>
      <c r="G538" s="7"/>
    </row>
    <row r="539" spans="1:7" ht="22.5" customHeight="1">
      <c r="A539" s="7"/>
      <c r="B539" s="7"/>
      <c r="C539" s="7"/>
      <c r="D539" s="7"/>
      <c r="E539" s="7"/>
      <c r="F539" s="7"/>
      <c r="G539" s="7"/>
    </row>
    <row r="540" spans="1:7" ht="22.5" customHeight="1">
      <c r="A540" s="7"/>
      <c r="B540" s="7"/>
      <c r="C540" s="7"/>
      <c r="D540" s="7"/>
      <c r="E540" s="7"/>
      <c r="F540" s="7"/>
      <c r="G540" s="7"/>
    </row>
    <row r="541" spans="1:7" ht="22.5" customHeight="1">
      <c r="A541" s="7"/>
      <c r="B541" s="7"/>
      <c r="C541" s="7"/>
      <c r="D541" s="7"/>
      <c r="E541" s="7"/>
      <c r="F541" s="7"/>
      <c r="G541" s="7"/>
    </row>
    <row r="542" spans="1:7" ht="22.5" customHeight="1">
      <c r="A542" s="7"/>
      <c r="B542" s="7"/>
      <c r="C542" s="7"/>
      <c r="D542" s="7"/>
      <c r="E542" s="7"/>
      <c r="F542" s="7"/>
      <c r="G542" s="7"/>
    </row>
    <row r="543" spans="1:7" ht="22.5" customHeight="1">
      <c r="A543" s="7"/>
      <c r="B543" s="7"/>
      <c r="C543" s="7"/>
      <c r="D543" s="7"/>
      <c r="E543" s="7"/>
      <c r="F543" s="7"/>
      <c r="G543" s="7"/>
    </row>
    <row r="544" spans="1:7" ht="22.5" customHeight="1">
      <c r="A544" s="7"/>
      <c r="B544" s="7"/>
      <c r="C544" s="7"/>
      <c r="D544" s="7"/>
      <c r="E544" s="7"/>
      <c r="F544" s="7"/>
      <c r="G544" s="7"/>
    </row>
    <row r="545" spans="1:7" ht="22.5" customHeight="1">
      <c r="A545" s="7"/>
      <c r="B545" s="7"/>
      <c r="C545" s="7"/>
      <c r="D545" s="7"/>
      <c r="E545" s="7"/>
      <c r="F545" s="7"/>
      <c r="G545" s="7"/>
    </row>
    <row r="546" spans="1:7" ht="22.5" customHeight="1">
      <c r="A546" s="7"/>
      <c r="B546" s="7"/>
      <c r="C546" s="7"/>
      <c r="D546" s="7"/>
      <c r="E546" s="7"/>
      <c r="F546" s="7"/>
      <c r="G546" s="7"/>
    </row>
    <row r="547" spans="1:7" ht="22.5" customHeight="1">
      <c r="A547" s="7"/>
      <c r="B547" s="7"/>
      <c r="C547" s="7"/>
      <c r="D547" s="7"/>
      <c r="E547" s="7"/>
      <c r="F547" s="7"/>
      <c r="G547" s="7"/>
    </row>
    <row r="548" spans="1:7" ht="22.5" customHeight="1">
      <c r="A548" s="7"/>
      <c r="B548" s="7"/>
      <c r="C548" s="7"/>
      <c r="D548" s="7"/>
      <c r="E548" s="7"/>
      <c r="F548" s="7"/>
      <c r="G548" s="7"/>
    </row>
    <row r="549" spans="1:7" ht="22.5" customHeight="1">
      <c r="A549" s="7"/>
      <c r="B549" s="7"/>
      <c r="C549" s="7"/>
      <c r="D549" s="7"/>
      <c r="E549" s="7"/>
      <c r="F549" s="7"/>
      <c r="G549" s="7"/>
    </row>
    <row r="550" spans="1:7" ht="22.5" customHeight="1">
      <c r="A550" s="7"/>
      <c r="B550" s="7"/>
      <c r="C550" s="7"/>
      <c r="D550" s="7"/>
      <c r="E550" s="7"/>
      <c r="F550" s="7"/>
      <c r="G550" s="7"/>
    </row>
    <row r="551" spans="1:7" ht="22.5" customHeight="1">
      <c r="A551" s="7"/>
      <c r="B551" s="7"/>
      <c r="C551" s="7"/>
      <c r="D551" s="7"/>
      <c r="E551" s="7"/>
      <c r="F551" s="7"/>
      <c r="G551" s="7"/>
    </row>
    <row r="552" spans="1:7" ht="22.5" customHeight="1">
      <c r="A552" s="7"/>
      <c r="B552" s="7"/>
      <c r="C552" s="7"/>
      <c r="D552" s="7"/>
      <c r="E552" s="7"/>
      <c r="F552" s="7"/>
      <c r="G552" s="7"/>
    </row>
    <row r="553" spans="1:7" ht="22.5" customHeight="1">
      <c r="A553" s="7"/>
      <c r="B553" s="7"/>
      <c r="C553" s="7"/>
      <c r="D553" s="7"/>
      <c r="E553" s="7"/>
      <c r="F553" s="7"/>
      <c r="G553" s="7"/>
    </row>
    <row r="554" spans="1:7" ht="22.5" customHeight="1">
      <c r="A554" s="7"/>
      <c r="B554" s="7"/>
      <c r="C554" s="7"/>
      <c r="D554" s="7"/>
      <c r="E554" s="7"/>
      <c r="F554" s="7"/>
      <c r="G554" s="7"/>
    </row>
    <row r="555" spans="1:7" ht="22.5" customHeight="1">
      <c r="A555" s="7"/>
      <c r="B555" s="7"/>
      <c r="C555" s="7"/>
      <c r="D555" s="7"/>
      <c r="E555" s="7"/>
      <c r="F555" s="7"/>
      <c r="G555" s="7"/>
    </row>
    <row r="556" spans="1:7" ht="22.5" customHeight="1">
      <c r="A556" s="7"/>
      <c r="B556" s="7"/>
      <c r="C556" s="7"/>
      <c r="D556" s="7"/>
      <c r="E556" s="7"/>
      <c r="F556" s="7"/>
      <c r="G556" s="7"/>
    </row>
    <row r="557" spans="1:7" ht="22.5" customHeight="1">
      <c r="A557" s="7"/>
      <c r="B557" s="7"/>
      <c r="C557" s="7"/>
      <c r="D557" s="7"/>
      <c r="E557" s="7"/>
      <c r="F557" s="7"/>
      <c r="G557" s="7"/>
    </row>
    <row r="558" spans="1:7" ht="22.5" customHeight="1">
      <c r="A558" s="7"/>
      <c r="B558" s="7"/>
      <c r="C558" s="7"/>
      <c r="D558" s="7"/>
      <c r="E558" s="7"/>
      <c r="F558" s="7"/>
      <c r="G558" s="7"/>
    </row>
    <row r="559" spans="1:7" ht="22.5" customHeight="1">
      <c r="A559" s="7"/>
      <c r="B559" s="7"/>
      <c r="C559" s="7"/>
      <c r="D559" s="7"/>
      <c r="E559" s="7"/>
      <c r="F559" s="7"/>
      <c r="G559" s="7"/>
    </row>
    <row r="560" spans="1:7" ht="22.5" customHeight="1">
      <c r="A560" s="7"/>
      <c r="B560" s="7"/>
      <c r="C560" s="7"/>
      <c r="D560" s="7"/>
      <c r="E560" s="7"/>
      <c r="F560" s="7"/>
      <c r="G560" s="7"/>
    </row>
    <row r="561" spans="1:7" ht="22.5" customHeight="1">
      <c r="A561" s="7"/>
      <c r="B561" s="7"/>
      <c r="C561" s="7"/>
      <c r="D561" s="7"/>
      <c r="E561" s="7"/>
      <c r="F561" s="7"/>
      <c r="G561" s="7"/>
    </row>
    <row r="562" spans="1:7" ht="22.5" customHeight="1">
      <c r="A562" s="7"/>
      <c r="B562" s="7"/>
      <c r="C562" s="7"/>
      <c r="D562" s="7"/>
      <c r="E562" s="7"/>
      <c r="F562" s="7"/>
      <c r="G562" s="7"/>
    </row>
    <row r="563" spans="1:7" ht="22.5" customHeight="1">
      <c r="A563" s="7"/>
      <c r="B563" s="7"/>
      <c r="C563" s="7"/>
      <c r="D563" s="7"/>
      <c r="E563" s="7"/>
      <c r="F563" s="7"/>
      <c r="G563" s="7"/>
    </row>
    <row r="564" spans="1:7" ht="22.5" customHeight="1">
      <c r="A564" s="7"/>
      <c r="B564" s="7"/>
      <c r="C564" s="7"/>
      <c r="D564" s="7"/>
      <c r="E564" s="7"/>
      <c r="F564" s="7"/>
      <c r="G564" s="7"/>
    </row>
    <row r="565" spans="1:7" ht="22.5" customHeight="1">
      <c r="A565" s="7"/>
      <c r="B565" s="7"/>
      <c r="C565" s="7"/>
      <c r="D565" s="7"/>
      <c r="E565" s="7"/>
      <c r="F565" s="7"/>
      <c r="G565" s="7"/>
    </row>
    <row r="566" spans="1:7" ht="22.5" customHeight="1">
      <c r="A566" s="7"/>
      <c r="B566" s="7"/>
      <c r="C566" s="7"/>
      <c r="D566" s="7"/>
      <c r="E566" s="7"/>
      <c r="F566" s="7"/>
      <c r="G566" s="7"/>
    </row>
    <row r="567" spans="1:7" ht="22.5" customHeight="1">
      <c r="A567" s="7"/>
      <c r="B567" s="7"/>
      <c r="C567" s="7"/>
      <c r="D567" s="7"/>
      <c r="E567" s="7"/>
      <c r="F567" s="7"/>
      <c r="G567" s="7"/>
    </row>
    <row r="568" spans="1:7" ht="22.5" customHeight="1">
      <c r="A568" s="7"/>
      <c r="B568" s="7"/>
      <c r="C568" s="7"/>
      <c r="D568" s="7"/>
      <c r="E568" s="7"/>
      <c r="F568" s="7"/>
      <c r="G568" s="7"/>
    </row>
    <row r="569" spans="1:7" ht="22.5" customHeight="1">
      <c r="A569" s="7"/>
      <c r="B569" s="7"/>
      <c r="C569" s="7"/>
      <c r="D569" s="7"/>
      <c r="E569" s="7"/>
      <c r="F569" s="7"/>
      <c r="G569" s="7"/>
    </row>
    <row r="570" spans="1:7" ht="22.5" customHeight="1">
      <c r="A570" s="7"/>
      <c r="B570" s="7"/>
      <c r="C570" s="7"/>
      <c r="D570" s="7"/>
      <c r="E570" s="7"/>
      <c r="F570" s="7"/>
      <c r="G570" s="7"/>
    </row>
    <row r="571" spans="1:7" ht="22.5" customHeight="1">
      <c r="A571" s="7"/>
      <c r="B571" s="7"/>
      <c r="C571" s="7"/>
      <c r="D571" s="7"/>
      <c r="E571" s="7"/>
      <c r="F571" s="7"/>
      <c r="G571" s="7"/>
    </row>
    <row r="572" spans="1:7" ht="22.5" customHeight="1">
      <c r="A572" s="7"/>
      <c r="B572" s="7"/>
      <c r="C572" s="7"/>
      <c r="D572" s="7"/>
      <c r="E572" s="7"/>
      <c r="F572" s="7"/>
      <c r="G572" s="7"/>
    </row>
    <row r="573" spans="1:7" ht="22.5" customHeight="1">
      <c r="A573" s="7"/>
      <c r="B573" s="7"/>
      <c r="C573" s="7"/>
      <c r="D573" s="7"/>
      <c r="E573" s="7"/>
      <c r="F573" s="7"/>
      <c r="G573" s="7"/>
    </row>
    <row r="574" spans="1:7" ht="22.5" customHeight="1">
      <c r="A574" s="7"/>
      <c r="B574" s="7"/>
      <c r="C574" s="7"/>
      <c r="D574" s="7"/>
      <c r="E574" s="7"/>
      <c r="F574" s="7"/>
      <c r="G574" s="7"/>
    </row>
    <row r="575" spans="1:7" ht="22.5" customHeight="1">
      <c r="A575" s="7"/>
      <c r="B575" s="7"/>
      <c r="C575" s="7"/>
      <c r="D575" s="7"/>
      <c r="E575" s="7"/>
      <c r="F575" s="7"/>
      <c r="G575" s="7"/>
    </row>
    <row r="576" spans="1:7" ht="22.5" customHeight="1">
      <c r="A576" s="7"/>
      <c r="B576" s="7"/>
      <c r="C576" s="7"/>
      <c r="D576" s="7"/>
      <c r="E576" s="7"/>
      <c r="F576" s="7"/>
      <c r="G576" s="7"/>
    </row>
    <row r="577" spans="1:7" ht="22.5" customHeight="1">
      <c r="A577" s="7"/>
      <c r="B577" s="7"/>
      <c r="C577" s="7"/>
      <c r="D577" s="7"/>
      <c r="E577" s="7"/>
      <c r="F577" s="7"/>
      <c r="G577" s="7"/>
    </row>
    <row r="578" spans="1:7" ht="22.5" customHeight="1">
      <c r="A578" s="7"/>
      <c r="B578" s="7"/>
      <c r="C578" s="7"/>
      <c r="D578" s="7"/>
      <c r="E578" s="7"/>
      <c r="F578" s="7"/>
      <c r="G578" s="7"/>
    </row>
    <row r="579" spans="1:7" ht="22.5" customHeight="1">
      <c r="A579" s="7"/>
      <c r="B579" s="7"/>
      <c r="C579" s="7"/>
      <c r="D579" s="7"/>
      <c r="E579" s="7"/>
      <c r="F579" s="7"/>
      <c r="G579" s="7"/>
    </row>
    <row r="580" spans="1:7" ht="22.5" customHeight="1">
      <c r="A580" s="7"/>
      <c r="B580" s="7"/>
      <c r="C580" s="7"/>
      <c r="D580" s="7"/>
      <c r="E580" s="7"/>
      <c r="F580" s="7"/>
      <c r="G580" s="7"/>
    </row>
    <row r="581" spans="1:7" ht="22.5" customHeight="1">
      <c r="A581" s="7"/>
      <c r="B581" s="7"/>
      <c r="C581" s="7"/>
      <c r="D581" s="7"/>
      <c r="E581" s="7"/>
      <c r="F581" s="7"/>
      <c r="G581" s="7"/>
    </row>
    <row r="582" spans="1:7" ht="22.5" customHeight="1">
      <c r="A582" s="7"/>
      <c r="B582" s="7"/>
      <c r="C582" s="7"/>
      <c r="D582" s="7"/>
      <c r="E582" s="7"/>
      <c r="F582" s="7"/>
      <c r="G582" s="7"/>
    </row>
    <row r="583" spans="1:7" ht="22.5" customHeight="1">
      <c r="A583" s="7"/>
      <c r="B583" s="7"/>
      <c r="C583" s="7"/>
      <c r="D583" s="7"/>
      <c r="E583" s="7"/>
      <c r="F583" s="7"/>
      <c r="G583" s="7"/>
    </row>
    <row r="584" spans="1:7" ht="22.5" customHeight="1">
      <c r="A584" s="7"/>
      <c r="B584" s="7"/>
      <c r="C584" s="7"/>
      <c r="D584" s="7"/>
      <c r="E584" s="7"/>
      <c r="F584" s="7"/>
      <c r="G584" s="7"/>
    </row>
    <row r="585" spans="1:7" ht="22.5" customHeight="1">
      <c r="A585" s="7"/>
      <c r="B585" s="7"/>
      <c r="C585" s="7"/>
      <c r="D585" s="7"/>
      <c r="E585" s="7"/>
      <c r="F585" s="7"/>
      <c r="G585" s="7"/>
    </row>
    <row r="586" spans="1:7" ht="22.5" customHeight="1">
      <c r="A586" s="7"/>
      <c r="B586" s="7"/>
      <c r="C586" s="7"/>
      <c r="D586" s="7"/>
      <c r="E586" s="7"/>
      <c r="F586" s="7"/>
      <c r="G586" s="7"/>
    </row>
    <row r="587" spans="1:7" ht="22.5" customHeight="1">
      <c r="A587" s="7"/>
      <c r="B587" s="7"/>
      <c r="C587" s="7"/>
      <c r="D587" s="7"/>
      <c r="E587" s="7"/>
      <c r="F587" s="7"/>
      <c r="G587" s="7"/>
    </row>
    <row r="588" spans="1:7" ht="22.5" customHeight="1">
      <c r="A588" s="7"/>
      <c r="B588" s="7"/>
      <c r="C588" s="7"/>
      <c r="D588" s="7"/>
      <c r="E588" s="7"/>
      <c r="F588" s="7"/>
      <c r="G588" s="7"/>
    </row>
    <row r="589" spans="1:7" ht="22.5" customHeight="1">
      <c r="A589" s="7"/>
      <c r="B589" s="7"/>
      <c r="C589" s="7"/>
      <c r="D589" s="7"/>
      <c r="E589" s="7"/>
      <c r="F589" s="7"/>
      <c r="G589" s="7"/>
    </row>
    <row r="590" spans="1:7" ht="22.5" customHeight="1">
      <c r="A590" s="7"/>
      <c r="B590" s="7"/>
      <c r="C590" s="7"/>
      <c r="D590" s="7"/>
      <c r="E590" s="7"/>
      <c r="F590" s="7"/>
      <c r="G590" s="7"/>
    </row>
    <row r="591" spans="1:7" ht="22.5" customHeight="1">
      <c r="A591" s="7"/>
      <c r="B591" s="7"/>
      <c r="C591" s="7"/>
      <c r="D591" s="7"/>
      <c r="E591" s="7"/>
      <c r="F591" s="7"/>
      <c r="G591" s="7"/>
    </row>
    <row r="592" spans="1:7" ht="22.5" customHeight="1">
      <c r="A592" s="7"/>
      <c r="B592" s="7"/>
      <c r="C592" s="7"/>
      <c r="D592" s="7"/>
      <c r="E592" s="7"/>
      <c r="F592" s="7"/>
      <c r="G592" s="7"/>
    </row>
    <row r="593" spans="1:7" ht="22.5" customHeight="1">
      <c r="A593" s="7"/>
      <c r="B593" s="7"/>
      <c r="C593" s="7"/>
      <c r="D593" s="7"/>
      <c r="E593" s="7"/>
      <c r="F593" s="7"/>
      <c r="G593" s="7"/>
    </row>
    <row r="594" spans="1:7" ht="22.5" customHeight="1">
      <c r="A594" s="7"/>
      <c r="B594" s="7"/>
      <c r="C594" s="7"/>
      <c r="D594" s="7"/>
      <c r="E594" s="7"/>
      <c r="F594" s="7"/>
      <c r="G594" s="7"/>
    </row>
    <row r="595" spans="1:7" ht="22.5" customHeight="1">
      <c r="A595" s="7"/>
      <c r="B595" s="7"/>
      <c r="C595" s="7"/>
      <c r="D595" s="7"/>
      <c r="E595" s="7"/>
      <c r="F595" s="7"/>
      <c r="G595" s="7"/>
    </row>
    <row r="596" spans="1:7" ht="22.5" customHeight="1">
      <c r="A596" s="7"/>
      <c r="B596" s="7"/>
      <c r="C596" s="7"/>
      <c r="D596" s="7"/>
      <c r="E596" s="7"/>
      <c r="F596" s="7"/>
      <c r="G596" s="7"/>
    </row>
    <row r="597" spans="1:7" ht="22.5" customHeight="1">
      <c r="A597" s="7"/>
      <c r="B597" s="7"/>
      <c r="C597" s="7"/>
      <c r="D597" s="7"/>
      <c r="E597" s="7"/>
      <c r="F597" s="7"/>
      <c r="G597" s="7"/>
    </row>
    <row r="598" spans="1:7" ht="22.5" customHeight="1">
      <c r="A598" s="7"/>
      <c r="B598" s="7"/>
      <c r="C598" s="7"/>
      <c r="D598" s="7"/>
      <c r="E598" s="7"/>
      <c r="F598" s="7"/>
      <c r="G598" s="7"/>
    </row>
    <row r="599" spans="1:7" ht="22.5" customHeight="1">
      <c r="A599" s="7"/>
      <c r="B599" s="7"/>
      <c r="C599" s="7"/>
      <c r="D599" s="7"/>
      <c r="E599" s="7"/>
      <c r="F599" s="7"/>
      <c r="G599" s="7"/>
    </row>
    <row r="600" spans="1:7" ht="22.5" customHeight="1">
      <c r="A600" s="7"/>
      <c r="B600" s="7"/>
      <c r="C600" s="7"/>
      <c r="D600" s="7"/>
      <c r="E600" s="7"/>
      <c r="F600" s="7"/>
      <c r="G600" s="7"/>
    </row>
    <row r="601" spans="1:7" ht="22.5" customHeight="1">
      <c r="A601" s="7"/>
      <c r="B601" s="7"/>
      <c r="C601" s="7"/>
      <c r="D601" s="7"/>
      <c r="E601" s="7"/>
      <c r="F601" s="7"/>
      <c r="G601" s="7"/>
    </row>
    <row r="602" spans="1:7" ht="22.5" customHeight="1">
      <c r="A602" s="7"/>
      <c r="B602" s="7"/>
      <c r="C602" s="7"/>
      <c r="D602" s="7"/>
      <c r="E602" s="7"/>
      <c r="F602" s="7"/>
      <c r="G602" s="7"/>
    </row>
    <row r="603" spans="1:7" ht="22.5" customHeight="1">
      <c r="A603" s="7"/>
      <c r="B603" s="7"/>
      <c r="C603" s="7"/>
      <c r="D603" s="7"/>
      <c r="E603" s="7"/>
      <c r="F603" s="7"/>
      <c r="G603" s="7"/>
    </row>
    <row r="604" spans="1:7" ht="22.5" customHeight="1">
      <c r="A604" s="7"/>
      <c r="B604" s="7"/>
      <c r="C604" s="7"/>
      <c r="D604" s="7"/>
      <c r="E604" s="7"/>
      <c r="F604" s="7"/>
      <c r="G604" s="7"/>
    </row>
    <row r="605" spans="1:7" ht="22.5" customHeight="1">
      <c r="A605" s="7"/>
      <c r="B605" s="7"/>
      <c r="C605" s="7"/>
      <c r="D605" s="7"/>
      <c r="E605" s="7"/>
      <c r="F605" s="7"/>
      <c r="G605" s="7"/>
    </row>
    <row r="606" spans="1:7" ht="22.5" customHeight="1">
      <c r="A606" s="7"/>
      <c r="B606" s="7"/>
      <c r="C606" s="7"/>
      <c r="D606" s="7"/>
      <c r="E606" s="7"/>
      <c r="F606" s="7"/>
      <c r="G606" s="7"/>
    </row>
    <row r="607" spans="1:7" ht="22.5" customHeight="1">
      <c r="A607" s="7"/>
      <c r="B607" s="7"/>
      <c r="C607" s="7"/>
      <c r="D607" s="7"/>
      <c r="E607" s="7"/>
      <c r="F607" s="7"/>
      <c r="G607" s="7"/>
    </row>
    <row r="608" spans="1:7" ht="22.5" customHeight="1">
      <c r="A608" s="7"/>
      <c r="B608" s="7"/>
      <c r="C608" s="7"/>
      <c r="D608" s="7"/>
      <c r="E608" s="7"/>
      <c r="F608" s="7"/>
      <c r="G608" s="7"/>
    </row>
    <row r="609" spans="1:7" ht="22.5" customHeight="1">
      <c r="A609" s="7"/>
      <c r="B609" s="7"/>
      <c r="C609" s="7"/>
      <c r="D609" s="7"/>
      <c r="E609" s="7"/>
      <c r="F609" s="7"/>
      <c r="G609" s="7"/>
    </row>
    <row r="610" spans="1:7" ht="22.5" customHeight="1">
      <c r="A610" s="7"/>
      <c r="B610" s="7"/>
      <c r="C610" s="7"/>
      <c r="D610" s="7"/>
      <c r="E610" s="7"/>
      <c r="F610" s="7"/>
      <c r="G610" s="7"/>
    </row>
    <row r="611" spans="1:7" ht="22.5" customHeight="1">
      <c r="A611" s="7"/>
      <c r="B611" s="7"/>
      <c r="C611" s="7"/>
      <c r="D611" s="7"/>
      <c r="E611" s="7"/>
      <c r="F611" s="7"/>
      <c r="G611" s="7"/>
    </row>
    <row r="612" spans="1:7" ht="22.5" customHeight="1">
      <c r="A612" s="7"/>
      <c r="B612" s="7"/>
      <c r="C612" s="7"/>
      <c r="D612" s="7"/>
      <c r="E612" s="7"/>
      <c r="F612" s="7"/>
      <c r="G612" s="7"/>
    </row>
    <row r="613" spans="1:7" ht="22.5" customHeight="1">
      <c r="A613" s="7"/>
      <c r="B613" s="7"/>
      <c r="C613" s="7"/>
      <c r="D613" s="7"/>
      <c r="E613" s="7"/>
      <c r="F613" s="7"/>
      <c r="G613" s="7"/>
    </row>
    <row r="614" spans="1:7" ht="22.5" customHeight="1">
      <c r="A614" s="7"/>
      <c r="B614" s="7"/>
      <c r="C614" s="7"/>
      <c r="D614" s="7"/>
      <c r="E614" s="7"/>
      <c r="F614" s="7"/>
      <c r="G614" s="7"/>
    </row>
    <row r="615" spans="1:7" ht="22.5" customHeight="1">
      <c r="A615" s="7"/>
      <c r="B615" s="7"/>
      <c r="C615" s="7"/>
      <c r="D615" s="7"/>
      <c r="E615" s="7"/>
      <c r="F615" s="7"/>
      <c r="G615" s="7"/>
    </row>
    <row r="616" spans="1:7" ht="22.5" customHeight="1">
      <c r="A616" s="7"/>
      <c r="B616" s="7"/>
      <c r="C616" s="7"/>
      <c r="D616" s="7"/>
      <c r="E616" s="7"/>
      <c r="F616" s="7"/>
      <c r="G616" s="7"/>
    </row>
    <row r="617" spans="1:7" ht="22.5" customHeight="1">
      <c r="A617" s="7"/>
      <c r="B617" s="7"/>
      <c r="C617" s="7"/>
      <c r="D617" s="7"/>
      <c r="E617" s="7"/>
      <c r="F617" s="7"/>
      <c r="G617" s="7"/>
    </row>
    <row r="618" spans="1:7" ht="22.5" customHeight="1">
      <c r="A618" s="7"/>
      <c r="B618" s="7"/>
      <c r="C618" s="7"/>
      <c r="D618" s="7"/>
      <c r="E618" s="7"/>
      <c r="F618" s="7"/>
      <c r="G618" s="7"/>
    </row>
    <row r="619" spans="1:7" ht="22.5" customHeight="1">
      <c r="A619" s="7"/>
      <c r="B619" s="7"/>
      <c r="C619" s="7"/>
      <c r="D619" s="7"/>
      <c r="E619" s="7"/>
      <c r="F619" s="7"/>
      <c r="G619" s="7"/>
    </row>
    <row r="620" spans="1:7" ht="22.5" customHeight="1">
      <c r="A620" s="7"/>
      <c r="B620" s="7"/>
      <c r="C620" s="7"/>
      <c r="D620" s="7"/>
      <c r="E620" s="7"/>
      <c r="F620" s="7"/>
      <c r="G620" s="7"/>
    </row>
    <row r="621" spans="1:7" ht="22.5" customHeight="1">
      <c r="A621" s="7"/>
      <c r="B621" s="7"/>
      <c r="C621" s="7"/>
      <c r="D621" s="7"/>
      <c r="E621" s="7"/>
      <c r="F621" s="7"/>
      <c r="G621" s="7"/>
    </row>
    <row r="622" spans="1:7" ht="22.5" customHeight="1">
      <c r="A622" s="7"/>
      <c r="B622" s="7"/>
      <c r="C622" s="7"/>
      <c r="D622" s="7"/>
      <c r="E622" s="7"/>
      <c r="F622" s="7"/>
      <c r="G622" s="7"/>
    </row>
    <row r="623" spans="1:7" ht="22.5" customHeight="1">
      <c r="A623" s="7"/>
      <c r="B623" s="7"/>
      <c r="C623" s="7"/>
      <c r="D623" s="7"/>
      <c r="E623" s="7"/>
      <c r="F623" s="7"/>
      <c r="G623" s="7"/>
    </row>
    <row r="624" spans="1:7" ht="22.5" customHeight="1">
      <c r="A624" s="7"/>
      <c r="B624" s="7"/>
      <c r="C624" s="7"/>
      <c r="D624" s="7"/>
      <c r="E624" s="7"/>
      <c r="F624" s="7"/>
      <c r="G624" s="7"/>
    </row>
    <row r="625" spans="1:7" ht="22.5" customHeight="1">
      <c r="A625" s="7"/>
      <c r="B625" s="7"/>
      <c r="C625" s="7"/>
      <c r="D625" s="7"/>
      <c r="E625" s="7"/>
      <c r="F625" s="7"/>
      <c r="G625" s="7"/>
    </row>
    <row r="626" spans="1:7" ht="22.5" customHeight="1">
      <c r="A626" s="7"/>
      <c r="B626" s="7"/>
      <c r="C626" s="7"/>
      <c r="D626" s="7"/>
      <c r="E626" s="7"/>
      <c r="F626" s="7"/>
      <c r="G626" s="7"/>
    </row>
    <row r="627" spans="1:7" ht="22.5" customHeight="1">
      <c r="A627" s="7"/>
      <c r="B627" s="7"/>
      <c r="C627" s="7"/>
      <c r="D627" s="7"/>
      <c r="E627" s="7"/>
      <c r="F627" s="7"/>
      <c r="G627" s="7"/>
    </row>
    <row r="628" spans="1:7" ht="22.5" customHeight="1">
      <c r="A628" s="7"/>
      <c r="B628" s="7"/>
      <c r="C628" s="7"/>
      <c r="D628" s="7"/>
      <c r="E628" s="7"/>
      <c r="F628" s="7"/>
      <c r="G628" s="7"/>
    </row>
    <row r="629" spans="1:7" ht="22.5" customHeight="1">
      <c r="A629" s="7"/>
      <c r="B629" s="7"/>
      <c r="C629" s="7"/>
      <c r="D629" s="7"/>
      <c r="E629" s="7"/>
      <c r="F629" s="7"/>
      <c r="G629" s="7"/>
    </row>
    <row r="630" spans="1:7" ht="22.5" customHeight="1">
      <c r="A630" s="7"/>
      <c r="B630" s="7"/>
      <c r="C630" s="7"/>
      <c r="D630" s="7"/>
      <c r="E630" s="7"/>
      <c r="F630" s="7"/>
      <c r="G630" s="7"/>
    </row>
    <row r="631" spans="1:7" ht="22.5" customHeight="1">
      <c r="A631" s="7"/>
      <c r="B631" s="7"/>
      <c r="C631" s="7"/>
      <c r="D631" s="7"/>
      <c r="E631" s="7"/>
      <c r="F631" s="7"/>
      <c r="G631" s="7"/>
    </row>
    <row r="632" spans="1:7" ht="22.5" customHeight="1">
      <c r="A632" s="7"/>
      <c r="B632" s="7"/>
      <c r="C632" s="7"/>
      <c r="D632" s="7"/>
      <c r="E632" s="7"/>
      <c r="F632" s="7"/>
      <c r="G632" s="7"/>
    </row>
    <row r="633" spans="1:7" ht="22.5" customHeight="1">
      <c r="A633" s="7"/>
      <c r="B633" s="7"/>
      <c r="C633" s="7"/>
      <c r="D633" s="7"/>
      <c r="E633" s="7"/>
      <c r="F633" s="7"/>
      <c r="G633" s="7"/>
    </row>
    <row r="634" spans="1:7" ht="22.5" customHeight="1">
      <c r="A634" s="7"/>
      <c r="B634" s="7"/>
      <c r="C634" s="7"/>
      <c r="D634" s="7"/>
      <c r="E634" s="7"/>
      <c r="F634" s="7"/>
      <c r="G634" s="7"/>
    </row>
    <row r="635" spans="1:7" ht="22.5" customHeight="1">
      <c r="A635" s="7"/>
      <c r="B635" s="7"/>
      <c r="C635" s="7"/>
      <c r="D635" s="7"/>
      <c r="E635" s="7"/>
      <c r="F635" s="7"/>
      <c r="G635" s="7"/>
    </row>
    <row r="636" spans="1:7" ht="22.5" customHeight="1">
      <c r="A636" s="7"/>
      <c r="B636" s="7"/>
      <c r="C636" s="7"/>
      <c r="D636" s="7"/>
      <c r="E636" s="7"/>
      <c r="F636" s="7"/>
      <c r="G636" s="7"/>
    </row>
    <row r="637" spans="1:7" ht="22.5" customHeight="1">
      <c r="A637" s="7"/>
      <c r="B637" s="7"/>
      <c r="C637" s="7"/>
      <c r="D637" s="7"/>
      <c r="E637" s="7"/>
      <c r="F637" s="7"/>
      <c r="G637" s="7"/>
    </row>
    <row r="638" spans="1:7" ht="22.5" customHeight="1">
      <c r="A638" s="7"/>
      <c r="B638" s="7"/>
      <c r="C638" s="7"/>
      <c r="D638" s="7"/>
      <c r="E638" s="7"/>
      <c r="F638" s="7"/>
      <c r="G638" s="7"/>
    </row>
    <row r="639" spans="1:7" ht="22.5" customHeight="1">
      <c r="A639" s="7"/>
      <c r="B639" s="7"/>
      <c r="C639" s="7"/>
      <c r="D639" s="7"/>
      <c r="E639" s="7"/>
      <c r="F639" s="7"/>
      <c r="G639" s="7"/>
    </row>
    <row r="640" spans="1:7" ht="22.5" customHeight="1">
      <c r="A640" s="7"/>
      <c r="B640" s="7"/>
      <c r="C640" s="7"/>
      <c r="D640" s="7"/>
      <c r="E640" s="7"/>
      <c r="F640" s="7"/>
      <c r="G640" s="7"/>
    </row>
    <row r="641" spans="1:7" ht="22.5" customHeight="1">
      <c r="A641" s="7"/>
      <c r="B641" s="7"/>
      <c r="C641" s="7"/>
      <c r="D641" s="7"/>
      <c r="E641" s="7"/>
      <c r="F641" s="7"/>
      <c r="G641" s="7"/>
    </row>
    <row r="642" spans="1:7" ht="22.5" customHeight="1">
      <c r="A642" s="7"/>
      <c r="B642" s="7"/>
      <c r="C642" s="7"/>
      <c r="D642" s="7"/>
      <c r="E642" s="7"/>
      <c r="F642" s="7"/>
      <c r="G642" s="7"/>
    </row>
    <row r="643" spans="1:7" ht="22.5" customHeight="1">
      <c r="A643" s="7"/>
      <c r="B643" s="7"/>
      <c r="C643" s="7"/>
      <c r="D643" s="7"/>
      <c r="E643" s="7"/>
      <c r="F643" s="7"/>
      <c r="G643" s="7"/>
    </row>
    <row r="644" spans="1:7" ht="22.5" customHeight="1">
      <c r="A644" s="7"/>
      <c r="B644" s="7"/>
      <c r="C644" s="7"/>
      <c r="D644" s="7"/>
      <c r="E644" s="7"/>
      <c r="F644" s="7"/>
      <c r="G644" s="7"/>
    </row>
    <row r="645" spans="1:7" ht="22.5" customHeight="1">
      <c r="A645" s="7"/>
      <c r="B645" s="7"/>
      <c r="C645" s="7"/>
      <c r="D645" s="7"/>
      <c r="E645" s="7"/>
      <c r="F645" s="7"/>
      <c r="G645" s="7"/>
    </row>
    <row r="646" spans="1:7" ht="22.5" customHeight="1">
      <c r="A646" s="7"/>
      <c r="B646" s="7"/>
      <c r="C646" s="7"/>
      <c r="D646" s="7"/>
      <c r="E646" s="7"/>
      <c r="F646" s="7"/>
      <c r="G646" s="7"/>
    </row>
    <row r="647" spans="1:7" ht="22.5" customHeight="1">
      <c r="A647" s="7"/>
      <c r="B647" s="7"/>
      <c r="C647" s="7"/>
      <c r="D647" s="7"/>
      <c r="E647" s="7"/>
      <c r="F647" s="7"/>
      <c r="G647" s="7"/>
    </row>
    <row r="648" spans="1:7" ht="22.5" customHeight="1">
      <c r="A648" s="7"/>
      <c r="B648" s="7"/>
      <c r="C648" s="7"/>
      <c r="D648" s="7"/>
      <c r="E648" s="7"/>
      <c r="F648" s="7"/>
      <c r="G648" s="7"/>
    </row>
    <row r="649" spans="1:7" ht="22.5" customHeight="1">
      <c r="A649" s="7"/>
      <c r="B649" s="7"/>
      <c r="C649" s="7"/>
      <c r="D649" s="7"/>
      <c r="E649" s="7"/>
      <c r="F649" s="7"/>
      <c r="G649" s="7"/>
    </row>
    <row r="650" spans="1:7" ht="22.5" customHeight="1">
      <c r="A650" s="7"/>
      <c r="B650" s="7"/>
      <c r="C650" s="7"/>
      <c r="D650" s="7"/>
      <c r="E650" s="7"/>
      <c r="F650" s="7"/>
      <c r="G650" s="7"/>
    </row>
    <row r="651" spans="1:7" ht="22.5" customHeight="1">
      <c r="A651" s="7"/>
      <c r="B651" s="7"/>
      <c r="C651" s="7"/>
      <c r="D651" s="7"/>
      <c r="E651" s="7"/>
      <c r="F651" s="7"/>
      <c r="G651" s="7"/>
    </row>
    <row r="652" spans="1:7" ht="22.5" customHeight="1">
      <c r="A652" s="7"/>
      <c r="B652" s="7"/>
      <c r="C652" s="7"/>
      <c r="D652" s="7"/>
      <c r="E652" s="7"/>
      <c r="F652" s="7"/>
      <c r="G652" s="7"/>
    </row>
    <row r="653" spans="1:7" ht="22.5" customHeight="1">
      <c r="A653" s="7"/>
      <c r="B653" s="7"/>
      <c r="C653" s="7"/>
      <c r="D653" s="7"/>
      <c r="E653" s="7"/>
      <c r="F653" s="7"/>
      <c r="G653" s="7"/>
    </row>
    <row r="654" spans="1:7" ht="22.5" customHeight="1">
      <c r="A654" s="7"/>
      <c r="B654" s="7"/>
      <c r="C654" s="7"/>
      <c r="D654" s="7"/>
      <c r="E654" s="7"/>
      <c r="F654" s="7"/>
      <c r="G654" s="7"/>
    </row>
    <row r="655" spans="1:7" ht="22.5" customHeight="1">
      <c r="A655" s="7"/>
      <c r="B655" s="7"/>
      <c r="C655" s="7"/>
      <c r="D655" s="7"/>
      <c r="E655" s="7"/>
      <c r="F655" s="7"/>
      <c r="G655" s="7"/>
    </row>
    <row r="656" spans="1:7" ht="22.5" customHeight="1">
      <c r="A656" s="7"/>
      <c r="B656" s="7"/>
      <c r="C656" s="7"/>
      <c r="D656" s="7"/>
      <c r="E656" s="7"/>
      <c r="F656" s="7"/>
      <c r="G656" s="7"/>
    </row>
    <row r="657" spans="1:7" ht="22.5" customHeight="1">
      <c r="A657" s="7"/>
      <c r="B657" s="7"/>
      <c r="C657" s="7"/>
      <c r="D657" s="7"/>
      <c r="E657" s="7"/>
      <c r="F657" s="7"/>
      <c r="G657" s="7"/>
    </row>
    <row r="658" spans="1:7" ht="22.5" customHeight="1">
      <c r="A658" s="7"/>
      <c r="B658" s="7"/>
      <c r="C658" s="7"/>
      <c r="D658" s="7"/>
      <c r="E658" s="7"/>
      <c r="F658" s="7"/>
      <c r="G658" s="7"/>
    </row>
    <row r="659" spans="1:7" ht="22.5" customHeight="1">
      <c r="A659" s="7"/>
      <c r="B659" s="7"/>
      <c r="C659" s="7"/>
      <c r="D659" s="7"/>
      <c r="E659" s="7"/>
      <c r="F659" s="7"/>
      <c r="G659" s="7"/>
    </row>
    <row r="660" spans="1:7" ht="22.5" customHeight="1">
      <c r="A660" s="7"/>
      <c r="B660" s="7"/>
      <c r="C660" s="7"/>
      <c r="D660" s="7"/>
      <c r="E660" s="7"/>
      <c r="F660" s="7"/>
      <c r="G660" s="7"/>
    </row>
    <row r="661" spans="1:7" ht="22.5" customHeight="1">
      <c r="A661" s="7"/>
      <c r="B661" s="7"/>
      <c r="C661" s="7"/>
      <c r="D661" s="7"/>
      <c r="E661" s="7"/>
      <c r="F661" s="7"/>
      <c r="G661" s="7"/>
    </row>
    <row r="662" spans="1:7" ht="22.5" customHeight="1">
      <c r="A662" s="7"/>
      <c r="B662" s="7"/>
      <c r="C662" s="7"/>
      <c r="D662" s="7"/>
      <c r="E662" s="7"/>
      <c r="F662" s="7"/>
      <c r="G662" s="7"/>
    </row>
    <row r="663" spans="1:7" ht="22.5" customHeight="1">
      <c r="A663" s="7"/>
      <c r="B663" s="7"/>
      <c r="C663" s="7"/>
      <c r="D663" s="7"/>
      <c r="E663" s="7"/>
      <c r="F663" s="7"/>
      <c r="G663" s="7"/>
    </row>
    <row r="664" spans="1:7" ht="22.5" customHeight="1">
      <c r="A664" s="7"/>
      <c r="B664" s="7"/>
      <c r="C664" s="7"/>
      <c r="D664" s="7"/>
      <c r="E664" s="7"/>
      <c r="F664" s="7"/>
      <c r="G664" s="7"/>
    </row>
    <row r="665" spans="1:7" ht="22.5" customHeight="1">
      <c r="A665" s="7"/>
      <c r="B665" s="7"/>
      <c r="C665" s="7"/>
      <c r="D665" s="7"/>
      <c r="E665" s="7"/>
      <c r="F665" s="7"/>
      <c r="G665" s="7"/>
    </row>
    <row r="666" spans="1:7" ht="22.5" customHeight="1">
      <c r="A666" s="7"/>
      <c r="B666" s="7"/>
      <c r="C666" s="7"/>
      <c r="D666" s="7"/>
      <c r="E666" s="7"/>
      <c r="F666" s="7"/>
      <c r="G666" s="7"/>
    </row>
    <row r="667" spans="1:7" ht="22.5" customHeight="1">
      <c r="A667" s="7"/>
      <c r="B667" s="7"/>
      <c r="C667" s="7"/>
      <c r="D667" s="7"/>
      <c r="E667" s="7"/>
      <c r="F667" s="7"/>
      <c r="G667" s="7"/>
    </row>
    <row r="668" spans="1:7" ht="22.5" customHeight="1">
      <c r="A668" s="7"/>
      <c r="B668" s="7"/>
      <c r="C668" s="7"/>
      <c r="D668" s="7"/>
      <c r="E668" s="7"/>
      <c r="F668" s="7"/>
      <c r="G668" s="7"/>
    </row>
    <row r="669" spans="1:7" ht="22.5" customHeight="1">
      <c r="A669" s="7"/>
      <c r="B669" s="7"/>
      <c r="C669" s="7"/>
      <c r="D669" s="7"/>
      <c r="E669" s="7"/>
      <c r="F669" s="7"/>
      <c r="G669" s="7"/>
    </row>
    <row r="670" spans="1:7" ht="22.5" customHeight="1">
      <c r="A670" s="7"/>
      <c r="B670" s="7"/>
      <c r="C670" s="7"/>
      <c r="D670" s="7"/>
      <c r="E670" s="7"/>
      <c r="F670" s="7"/>
      <c r="G670" s="7"/>
    </row>
    <row r="671" spans="1:7" ht="22.5" customHeight="1">
      <c r="A671" s="7"/>
      <c r="B671" s="7"/>
      <c r="C671" s="7"/>
      <c r="D671" s="7"/>
      <c r="E671" s="7"/>
      <c r="F671" s="7"/>
      <c r="G671" s="7"/>
    </row>
    <row r="672" spans="1:7" ht="22.5" customHeight="1">
      <c r="A672" s="7"/>
      <c r="B672" s="7"/>
      <c r="C672" s="7"/>
      <c r="D672" s="7"/>
      <c r="E672" s="7"/>
      <c r="F672" s="7"/>
      <c r="G672" s="7"/>
    </row>
    <row r="673" spans="1:7" ht="22.5" customHeight="1">
      <c r="A673" s="7"/>
      <c r="B673" s="7"/>
      <c r="C673" s="7"/>
      <c r="D673" s="7"/>
      <c r="E673" s="7"/>
      <c r="F673" s="7"/>
      <c r="G673" s="7"/>
    </row>
    <row r="674" spans="1:7" ht="22.5" customHeight="1">
      <c r="A674" s="7"/>
      <c r="B674" s="7"/>
      <c r="C674" s="7"/>
      <c r="D674" s="7"/>
      <c r="E674" s="7"/>
      <c r="F674" s="7"/>
      <c r="G674" s="7"/>
    </row>
    <row r="675" spans="1:7" ht="22.5" customHeight="1">
      <c r="A675" s="7"/>
      <c r="B675" s="7"/>
      <c r="C675" s="7"/>
      <c r="D675" s="7"/>
      <c r="E675" s="7"/>
      <c r="F675" s="7"/>
      <c r="G675" s="7"/>
    </row>
    <row r="676" spans="1:7" ht="22.5" customHeight="1">
      <c r="A676" s="7"/>
      <c r="B676" s="7"/>
      <c r="C676" s="7"/>
      <c r="D676" s="7"/>
      <c r="E676" s="7"/>
      <c r="F676" s="7"/>
      <c r="G676" s="7"/>
    </row>
    <row r="677" spans="1:7" ht="22.5" customHeight="1">
      <c r="A677" s="7"/>
      <c r="B677" s="7"/>
      <c r="C677" s="7"/>
      <c r="D677" s="7"/>
      <c r="E677" s="7"/>
      <c r="F677" s="7"/>
      <c r="G677" s="7"/>
    </row>
    <row r="678" spans="1:7" ht="22.5" customHeight="1">
      <c r="A678" s="7"/>
      <c r="B678" s="7"/>
      <c r="C678" s="7"/>
      <c r="D678" s="7"/>
      <c r="E678" s="7"/>
      <c r="F678" s="7"/>
      <c r="G678" s="7"/>
    </row>
    <row r="679" spans="1:7" ht="22.5" customHeight="1">
      <c r="A679" s="7"/>
      <c r="B679" s="7"/>
      <c r="C679" s="7"/>
      <c r="D679" s="7"/>
      <c r="E679" s="7"/>
      <c r="F679" s="7"/>
      <c r="G679" s="7"/>
    </row>
    <row r="680" spans="1:7" ht="22.5" customHeight="1">
      <c r="A680" s="7"/>
      <c r="B680" s="7"/>
      <c r="C680" s="7"/>
      <c r="D680" s="7"/>
      <c r="E680" s="7"/>
      <c r="F680" s="7"/>
      <c r="G680" s="7"/>
    </row>
    <row r="681" spans="1:7" ht="22.5" customHeight="1">
      <c r="A681" s="7"/>
      <c r="B681" s="7"/>
      <c r="C681" s="7"/>
      <c r="D681" s="7"/>
      <c r="E681" s="7"/>
      <c r="F681" s="7"/>
      <c r="G681" s="7"/>
    </row>
    <row r="682" spans="1:7" ht="22.5" customHeight="1">
      <c r="A682" s="7"/>
      <c r="B682" s="7"/>
      <c r="C682" s="7"/>
      <c r="D682" s="7"/>
      <c r="E682" s="7"/>
      <c r="F682" s="7"/>
      <c r="G682" s="7"/>
    </row>
    <row r="683" spans="1:7" ht="22.5" customHeight="1">
      <c r="A683" s="7"/>
      <c r="B683" s="7"/>
      <c r="C683" s="7"/>
      <c r="D683" s="7"/>
      <c r="E683" s="7"/>
      <c r="F683" s="7"/>
      <c r="G683" s="7"/>
    </row>
    <row r="684" spans="1:7" ht="22.5" customHeight="1">
      <c r="A684" s="7"/>
      <c r="B684" s="7"/>
      <c r="C684" s="7"/>
      <c r="D684" s="7"/>
      <c r="E684" s="7"/>
      <c r="F684" s="7"/>
      <c r="G684" s="7"/>
    </row>
    <row r="685" spans="1:7" ht="22.5" customHeight="1">
      <c r="A685" s="7"/>
      <c r="B685" s="7"/>
      <c r="C685" s="7"/>
      <c r="D685" s="7"/>
      <c r="E685" s="7"/>
      <c r="F685" s="7"/>
      <c r="G685" s="7"/>
    </row>
    <row r="686" spans="1:7" ht="22.5" customHeight="1">
      <c r="A686" s="7"/>
      <c r="B686" s="7"/>
      <c r="C686" s="7"/>
      <c r="D686" s="7"/>
      <c r="E686" s="7"/>
      <c r="F686" s="7"/>
      <c r="G686" s="7"/>
    </row>
    <row r="687" spans="1:7" ht="22.5" customHeight="1">
      <c r="A687" s="7"/>
      <c r="B687" s="7"/>
      <c r="C687" s="7"/>
      <c r="D687" s="7"/>
      <c r="E687" s="7"/>
      <c r="F687" s="7"/>
      <c r="G687" s="7"/>
    </row>
    <row r="688" spans="1:7" ht="22.5" customHeight="1">
      <c r="A688" s="7"/>
      <c r="B688" s="7"/>
      <c r="C688" s="7"/>
      <c r="D688" s="7"/>
      <c r="E688" s="7"/>
      <c r="F688" s="7"/>
      <c r="G688" s="7"/>
    </row>
    <row r="689" spans="1:7" ht="22.5" customHeight="1">
      <c r="A689" s="7"/>
      <c r="B689" s="7"/>
      <c r="C689" s="7"/>
      <c r="D689" s="7"/>
      <c r="E689" s="7"/>
      <c r="F689" s="7"/>
      <c r="G689" s="7"/>
    </row>
    <row r="690" spans="1:7" ht="22.5" customHeight="1">
      <c r="A690" s="7"/>
      <c r="B690" s="7"/>
      <c r="C690" s="7"/>
      <c r="D690" s="7"/>
      <c r="E690" s="7"/>
      <c r="F690" s="7"/>
      <c r="G690" s="7"/>
    </row>
    <row r="691" spans="1:7" ht="22.5" customHeight="1">
      <c r="A691" s="7"/>
      <c r="B691" s="7"/>
      <c r="C691" s="7"/>
      <c r="D691" s="7"/>
      <c r="E691" s="7"/>
      <c r="F691" s="7"/>
      <c r="G691" s="7"/>
    </row>
    <row r="692" spans="1:7" ht="22.5" customHeight="1">
      <c r="A692" s="7"/>
      <c r="B692" s="7"/>
      <c r="C692" s="7"/>
      <c r="D692" s="7"/>
      <c r="E692" s="7"/>
      <c r="F692" s="7"/>
      <c r="G692" s="7"/>
    </row>
    <row r="693" spans="1:7" ht="22.5" customHeight="1">
      <c r="A693" s="7"/>
      <c r="B693" s="7"/>
      <c r="C693" s="7"/>
      <c r="D693" s="7"/>
      <c r="E693" s="7"/>
      <c r="F693" s="7"/>
      <c r="G693" s="7"/>
    </row>
    <row r="694" spans="1:7" ht="22.5" customHeight="1">
      <c r="A694" s="7"/>
      <c r="B694" s="7"/>
      <c r="C694" s="7"/>
      <c r="D694" s="7"/>
      <c r="E694" s="7"/>
      <c r="F694" s="7"/>
      <c r="G694" s="7"/>
    </row>
    <row r="695" spans="1:7" ht="22.5" customHeight="1">
      <c r="A695" s="7"/>
      <c r="B695" s="7"/>
      <c r="C695" s="7"/>
      <c r="D695" s="7"/>
      <c r="E695" s="7"/>
      <c r="F695" s="7"/>
      <c r="G695" s="7"/>
    </row>
    <row r="696" spans="1:7" ht="22.5" customHeight="1">
      <c r="A696" s="7"/>
      <c r="B696" s="7"/>
      <c r="C696" s="7"/>
      <c r="D696" s="7"/>
      <c r="E696" s="7"/>
      <c r="F696" s="7"/>
      <c r="G696" s="7"/>
    </row>
    <row r="697" spans="1:7" ht="22.5" customHeight="1">
      <c r="A697" s="7"/>
      <c r="B697" s="7"/>
      <c r="C697" s="7"/>
      <c r="D697" s="7"/>
      <c r="E697" s="7"/>
      <c r="F697" s="7"/>
      <c r="G697" s="7"/>
    </row>
    <row r="698" spans="1:7" ht="22.5" customHeight="1">
      <c r="A698" s="7"/>
      <c r="B698" s="7"/>
      <c r="C698" s="7"/>
      <c r="D698" s="7"/>
      <c r="E698" s="7"/>
      <c r="F698" s="7"/>
      <c r="G698" s="7"/>
    </row>
    <row r="699" spans="1:7" ht="22.5" customHeight="1">
      <c r="A699" s="7"/>
      <c r="B699" s="7"/>
      <c r="C699" s="7"/>
      <c r="D699" s="7"/>
      <c r="E699" s="7"/>
      <c r="F699" s="7"/>
      <c r="G699" s="7"/>
    </row>
    <row r="700" spans="1:7" ht="22.5" customHeight="1">
      <c r="A700" s="7"/>
      <c r="B700" s="7"/>
      <c r="C700" s="7"/>
      <c r="D700" s="7"/>
      <c r="E700" s="7"/>
      <c r="F700" s="7"/>
      <c r="G700" s="7"/>
    </row>
    <row r="701" spans="1:7" ht="22.5" customHeight="1">
      <c r="A701" s="7"/>
      <c r="B701" s="7"/>
      <c r="C701" s="7"/>
      <c r="D701" s="7"/>
      <c r="E701" s="7"/>
      <c r="F701" s="7"/>
      <c r="G701" s="7"/>
    </row>
    <row r="702" spans="1:7" ht="22.5" customHeight="1">
      <c r="A702" s="7"/>
      <c r="B702" s="7"/>
      <c r="C702" s="7"/>
      <c r="D702" s="7"/>
      <c r="E702" s="7"/>
      <c r="F702" s="7"/>
      <c r="G702" s="7"/>
    </row>
    <row r="703" spans="1:7" ht="22.5" customHeight="1">
      <c r="A703" s="7"/>
      <c r="B703" s="7"/>
      <c r="C703" s="7"/>
      <c r="D703" s="7"/>
      <c r="E703" s="7"/>
      <c r="F703" s="7"/>
      <c r="G703" s="7"/>
    </row>
    <row r="704" spans="1:7" ht="22.5" customHeight="1">
      <c r="A704" s="7"/>
      <c r="B704" s="7"/>
      <c r="C704" s="7"/>
      <c r="D704" s="7"/>
      <c r="E704" s="7"/>
      <c r="F704" s="7"/>
      <c r="G704" s="7"/>
    </row>
    <row r="705" spans="1:7" ht="22.5" customHeight="1">
      <c r="A705" s="7"/>
      <c r="B705" s="7"/>
      <c r="C705" s="7"/>
      <c r="D705" s="7"/>
      <c r="E705" s="7"/>
      <c r="F705" s="7"/>
      <c r="G705" s="7"/>
    </row>
    <row r="706" spans="1:7" ht="22.5" customHeight="1">
      <c r="A706" s="7"/>
      <c r="B706" s="7"/>
      <c r="C706" s="7"/>
      <c r="D706" s="7"/>
      <c r="E706" s="7"/>
      <c r="F706" s="7"/>
      <c r="G706" s="7"/>
    </row>
    <row r="707" spans="1:7" ht="22.5" customHeight="1">
      <c r="A707" s="7"/>
      <c r="B707" s="7"/>
      <c r="C707" s="7"/>
      <c r="D707" s="7"/>
      <c r="E707" s="7"/>
      <c r="F707" s="7"/>
      <c r="G707" s="7"/>
    </row>
    <row r="708" spans="1:7" ht="22.5" customHeight="1">
      <c r="A708" s="7"/>
      <c r="B708" s="7"/>
      <c r="C708" s="7"/>
      <c r="D708" s="7"/>
      <c r="E708" s="7"/>
      <c r="F708" s="7"/>
      <c r="G708" s="7"/>
    </row>
    <row r="709" spans="1:7" ht="22.5" customHeight="1">
      <c r="A709" s="7"/>
      <c r="B709" s="7"/>
      <c r="C709" s="7"/>
      <c r="D709" s="7"/>
      <c r="E709" s="7"/>
      <c r="F709" s="7"/>
      <c r="G709" s="7"/>
    </row>
    <row r="710" spans="1:7" ht="22.5" customHeight="1">
      <c r="A710" s="7"/>
      <c r="B710" s="7"/>
      <c r="C710" s="7"/>
      <c r="D710" s="7"/>
      <c r="E710" s="7"/>
      <c r="F710" s="7"/>
      <c r="G710" s="7"/>
    </row>
    <row r="711" spans="1:7" ht="22.5" customHeight="1">
      <c r="A711" s="7"/>
      <c r="B711" s="7"/>
      <c r="C711" s="7"/>
      <c r="D711" s="7"/>
      <c r="E711" s="7"/>
      <c r="F711" s="7"/>
      <c r="G711" s="7"/>
    </row>
    <row r="712" spans="1:7" ht="22.5" customHeight="1">
      <c r="A712" s="7"/>
      <c r="B712" s="7"/>
      <c r="C712" s="7"/>
      <c r="D712" s="7"/>
      <c r="E712" s="7"/>
      <c r="F712" s="7"/>
      <c r="G712" s="7"/>
    </row>
    <row r="713" spans="1:7" ht="22.5" customHeight="1">
      <c r="A713" s="7"/>
      <c r="B713" s="7"/>
      <c r="C713" s="7"/>
      <c r="D713" s="7"/>
      <c r="E713" s="7"/>
      <c r="F713" s="7"/>
      <c r="G713" s="7"/>
    </row>
    <row r="714" spans="1:7" ht="22.5" customHeight="1">
      <c r="A714" s="7"/>
      <c r="B714" s="7"/>
      <c r="C714" s="7"/>
      <c r="D714" s="7"/>
      <c r="E714" s="7"/>
      <c r="F714" s="7"/>
      <c r="G714" s="7"/>
    </row>
    <row r="715" spans="1:7" ht="22.5" customHeight="1">
      <c r="A715" s="7"/>
      <c r="B715" s="7"/>
      <c r="C715" s="7"/>
      <c r="D715" s="7"/>
      <c r="E715" s="7"/>
      <c r="F715" s="7"/>
      <c r="G715" s="7"/>
    </row>
    <row r="716" spans="1:7" ht="22.5" customHeight="1">
      <c r="A716" s="7"/>
      <c r="B716" s="7"/>
      <c r="C716" s="7"/>
      <c r="D716" s="7"/>
      <c r="E716" s="7"/>
      <c r="F716" s="7"/>
      <c r="G716" s="7"/>
    </row>
    <row r="717" spans="1:7" ht="22.5" customHeight="1">
      <c r="A717" s="7"/>
      <c r="B717" s="7"/>
      <c r="C717" s="7"/>
      <c r="D717" s="7"/>
      <c r="E717" s="7"/>
      <c r="F717" s="7"/>
      <c r="G717" s="7"/>
    </row>
    <row r="718" spans="1:7" ht="22.5" customHeight="1">
      <c r="A718" s="7"/>
      <c r="B718" s="7"/>
      <c r="C718" s="7"/>
      <c r="D718" s="7"/>
      <c r="E718" s="7"/>
      <c r="F718" s="7"/>
      <c r="G718" s="7"/>
    </row>
    <row r="719" spans="1:7" ht="22.5" customHeight="1">
      <c r="A719" s="7"/>
      <c r="B719" s="7"/>
      <c r="C719" s="7"/>
      <c r="D719" s="7"/>
      <c r="E719" s="7"/>
      <c r="F719" s="7"/>
      <c r="G719" s="7"/>
    </row>
    <row r="720" spans="1:7" ht="22.5" customHeight="1">
      <c r="A720" s="7"/>
      <c r="B720" s="7"/>
      <c r="C720" s="7"/>
      <c r="D720" s="7"/>
      <c r="E720" s="7"/>
      <c r="F720" s="7"/>
      <c r="G720" s="7"/>
    </row>
    <row r="721" spans="1:7" ht="22.5" customHeight="1">
      <c r="A721" s="7"/>
      <c r="B721" s="7"/>
      <c r="C721" s="7"/>
      <c r="D721" s="7"/>
      <c r="E721" s="7"/>
      <c r="F721" s="7"/>
      <c r="G721" s="7"/>
    </row>
    <row r="722" spans="1:7" ht="22.5" customHeight="1">
      <c r="A722" s="7"/>
      <c r="B722" s="7"/>
      <c r="C722" s="7"/>
      <c r="D722" s="7"/>
      <c r="E722" s="7"/>
      <c r="F722" s="7"/>
      <c r="G722" s="7"/>
    </row>
    <row r="723" spans="1:7" ht="22.5" customHeight="1">
      <c r="A723" s="7"/>
      <c r="B723" s="7"/>
      <c r="C723" s="7"/>
      <c r="D723" s="7"/>
      <c r="E723" s="7"/>
      <c r="F723" s="7"/>
      <c r="G723" s="7"/>
    </row>
    <row r="724" spans="1:7" ht="22.5" customHeight="1">
      <c r="A724" s="7"/>
      <c r="B724" s="7"/>
      <c r="C724" s="7"/>
      <c r="D724" s="7"/>
      <c r="E724" s="7"/>
      <c r="F724" s="7"/>
      <c r="G724" s="7"/>
    </row>
    <row r="725" spans="1:7" ht="22.5" customHeight="1">
      <c r="A725" s="7"/>
      <c r="B725" s="7"/>
      <c r="C725" s="7"/>
      <c r="D725" s="7"/>
      <c r="E725" s="7"/>
      <c r="F725" s="7"/>
      <c r="G725" s="7"/>
    </row>
    <row r="726" spans="1:7" ht="22.5" customHeight="1">
      <c r="A726" s="7"/>
      <c r="B726" s="7"/>
      <c r="C726" s="7"/>
      <c r="D726" s="7"/>
      <c r="E726" s="7"/>
      <c r="F726" s="7"/>
      <c r="G726" s="7"/>
    </row>
    <row r="727" spans="1:7" ht="22.5" customHeight="1">
      <c r="A727" s="7"/>
      <c r="B727" s="7"/>
      <c r="C727" s="7"/>
      <c r="D727" s="7"/>
      <c r="E727" s="7"/>
      <c r="F727" s="7"/>
      <c r="G727" s="7"/>
    </row>
    <row r="728" spans="1:7" ht="22.5" customHeight="1">
      <c r="A728" s="7"/>
      <c r="B728" s="7"/>
      <c r="C728" s="7"/>
      <c r="D728" s="7"/>
      <c r="E728" s="7"/>
      <c r="F728" s="7"/>
      <c r="G728" s="7"/>
    </row>
    <row r="729" spans="1:7" ht="22.5" customHeight="1">
      <c r="A729" s="7"/>
      <c r="B729" s="7"/>
      <c r="C729" s="7"/>
      <c r="D729" s="7"/>
      <c r="E729" s="7"/>
      <c r="F729" s="7"/>
      <c r="G729" s="7"/>
    </row>
    <row r="730" spans="1:7" ht="22.5" customHeight="1">
      <c r="A730" s="7"/>
      <c r="B730" s="7"/>
      <c r="C730" s="7"/>
      <c r="D730" s="7"/>
      <c r="E730" s="7"/>
      <c r="F730" s="7"/>
      <c r="G730" s="7"/>
    </row>
    <row r="731" spans="1:7" ht="22.5" customHeight="1">
      <c r="A731" s="7"/>
      <c r="B731" s="7"/>
      <c r="C731" s="7"/>
      <c r="D731" s="7"/>
      <c r="E731" s="7"/>
      <c r="F731" s="7"/>
      <c r="G731" s="7"/>
    </row>
    <row r="732" spans="1:7" ht="22.5" customHeight="1">
      <c r="A732" s="7"/>
      <c r="B732" s="7"/>
      <c r="C732" s="7"/>
      <c r="D732" s="7"/>
      <c r="E732" s="7"/>
      <c r="F732" s="7"/>
      <c r="G732" s="7"/>
    </row>
    <row r="733" spans="1:7" ht="22.5" customHeight="1">
      <c r="A733" s="7"/>
      <c r="B733" s="7"/>
      <c r="C733" s="7"/>
      <c r="D733" s="7"/>
      <c r="E733" s="7"/>
      <c r="F733" s="7"/>
      <c r="G733" s="7"/>
    </row>
    <row r="734" spans="1:7" ht="22.5" customHeight="1">
      <c r="A734" s="7"/>
      <c r="B734" s="7"/>
      <c r="C734" s="7"/>
      <c r="D734" s="7"/>
      <c r="E734" s="7"/>
      <c r="F734" s="7"/>
      <c r="G734" s="7"/>
    </row>
    <row r="735" spans="1:7" ht="22.5" customHeight="1">
      <c r="A735" s="7"/>
      <c r="B735" s="7"/>
      <c r="C735" s="7"/>
      <c r="D735" s="7"/>
      <c r="E735" s="7"/>
      <c r="F735" s="7"/>
      <c r="G735" s="7"/>
    </row>
    <row r="736" spans="1:7" ht="22.5" customHeight="1">
      <c r="A736" s="7"/>
      <c r="B736" s="7"/>
      <c r="C736" s="7"/>
      <c r="D736" s="7"/>
      <c r="E736" s="7"/>
      <c r="F736" s="7"/>
      <c r="G736" s="7"/>
    </row>
    <row r="737" spans="1:7" ht="22.5" customHeight="1">
      <c r="A737" s="7"/>
      <c r="B737" s="7"/>
      <c r="C737" s="7"/>
      <c r="D737" s="7"/>
      <c r="E737" s="7"/>
      <c r="F737" s="7"/>
      <c r="G737" s="7"/>
    </row>
    <row r="738" spans="1:7" ht="22.5" customHeight="1">
      <c r="A738" s="7"/>
      <c r="B738" s="7"/>
      <c r="C738" s="7"/>
      <c r="D738" s="7"/>
      <c r="E738" s="7"/>
      <c r="F738" s="7"/>
      <c r="G738" s="7"/>
    </row>
    <row r="739" spans="1:7" ht="22.5" customHeight="1">
      <c r="A739" s="7"/>
      <c r="B739" s="7"/>
      <c r="C739" s="7"/>
      <c r="D739" s="7"/>
      <c r="E739" s="7"/>
      <c r="F739" s="7"/>
      <c r="G739" s="7"/>
    </row>
    <row r="740" spans="1:7" ht="22.5" customHeight="1">
      <c r="A740" s="7"/>
      <c r="B740" s="7"/>
      <c r="C740" s="7"/>
      <c r="D740" s="7"/>
      <c r="E740" s="7"/>
      <c r="F740" s="7"/>
      <c r="G740" s="7"/>
    </row>
    <row r="741" spans="1:7" ht="22.5" customHeight="1">
      <c r="A741" s="7"/>
      <c r="B741" s="7"/>
      <c r="C741" s="7"/>
      <c r="D741" s="7"/>
      <c r="E741" s="7"/>
      <c r="F741" s="7"/>
      <c r="G741" s="7"/>
    </row>
    <row r="742" spans="1:7" ht="22.5" customHeight="1">
      <c r="A742" s="7"/>
      <c r="B742" s="7"/>
      <c r="C742" s="7"/>
      <c r="D742" s="7"/>
      <c r="E742" s="7"/>
      <c r="F742" s="7"/>
      <c r="G742" s="7"/>
    </row>
    <row r="743" spans="1:7" ht="22.5" customHeight="1">
      <c r="A743" s="7"/>
      <c r="B743" s="7"/>
      <c r="C743" s="7"/>
      <c r="D743" s="7"/>
      <c r="E743" s="7"/>
      <c r="F743" s="7"/>
      <c r="G743" s="7"/>
    </row>
    <row r="744" spans="1:7" ht="22.5" customHeight="1">
      <c r="A744" s="7"/>
      <c r="B744" s="7"/>
      <c r="C744" s="7"/>
      <c r="D744" s="7"/>
      <c r="E744" s="7"/>
      <c r="F744" s="7"/>
      <c r="G744" s="7"/>
    </row>
    <row r="745" spans="1:7" ht="22.5" customHeight="1">
      <c r="A745" s="7"/>
      <c r="B745" s="7"/>
      <c r="C745" s="7"/>
      <c r="D745" s="7"/>
      <c r="E745" s="7"/>
      <c r="F745" s="7"/>
      <c r="G745" s="7"/>
    </row>
    <row r="746" spans="1:7" ht="22.5" customHeight="1">
      <c r="A746" s="7"/>
      <c r="B746" s="7"/>
      <c r="C746" s="7"/>
      <c r="D746" s="7"/>
      <c r="E746" s="7"/>
      <c r="F746" s="7"/>
      <c r="G746" s="7"/>
    </row>
    <row r="747" spans="1:7" ht="22.5" customHeight="1">
      <c r="A747" s="7"/>
      <c r="B747" s="7"/>
      <c r="C747" s="7"/>
      <c r="D747" s="7"/>
      <c r="E747" s="7"/>
      <c r="F747" s="7"/>
      <c r="G747" s="7"/>
    </row>
    <row r="748" spans="1:7" ht="22.5" customHeight="1">
      <c r="A748" s="7"/>
      <c r="B748" s="7"/>
      <c r="C748" s="7"/>
      <c r="D748" s="7"/>
      <c r="E748" s="7"/>
      <c r="F748" s="7"/>
      <c r="G748" s="7"/>
    </row>
    <row r="749" spans="1:7" ht="22.5" customHeight="1">
      <c r="A749" s="7"/>
      <c r="B749" s="7"/>
      <c r="C749" s="7"/>
      <c r="D749" s="7"/>
      <c r="E749" s="7"/>
      <c r="F749" s="7"/>
      <c r="G749" s="7"/>
    </row>
    <row r="750" spans="1:7" ht="22.5" customHeight="1">
      <c r="A750" s="7"/>
      <c r="B750" s="7"/>
      <c r="C750" s="7"/>
      <c r="D750" s="7"/>
      <c r="E750" s="7"/>
      <c r="F750" s="7"/>
      <c r="G750" s="7"/>
    </row>
    <row r="751" spans="1:7" ht="22.5" customHeight="1">
      <c r="A751" s="7"/>
      <c r="B751" s="7"/>
      <c r="C751" s="7"/>
      <c r="D751" s="7"/>
      <c r="E751" s="7"/>
      <c r="F751" s="7"/>
      <c r="G751" s="7"/>
    </row>
    <row r="752" spans="1:7" ht="22.5" customHeight="1">
      <c r="A752" s="7"/>
      <c r="B752" s="7"/>
      <c r="C752" s="7"/>
      <c r="D752" s="7"/>
      <c r="E752" s="7"/>
      <c r="F752" s="7"/>
      <c r="G752" s="7"/>
    </row>
    <row r="753" spans="1:7" ht="22.5" customHeight="1">
      <c r="A753" s="7"/>
      <c r="B753" s="7"/>
      <c r="C753" s="7"/>
      <c r="D753" s="7"/>
      <c r="E753" s="7"/>
      <c r="F753" s="7"/>
      <c r="G753" s="7"/>
    </row>
    <row r="754" spans="1:7" ht="22.5" customHeight="1">
      <c r="A754" s="7"/>
      <c r="B754" s="7"/>
      <c r="C754" s="7"/>
      <c r="D754" s="7"/>
      <c r="E754" s="7"/>
      <c r="F754" s="7"/>
      <c r="G754" s="7"/>
    </row>
    <row r="755" spans="1:7" ht="22.5" customHeight="1">
      <c r="A755" s="7"/>
      <c r="B755" s="7"/>
      <c r="C755" s="7"/>
      <c r="D755" s="7"/>
      <c r="E755" s="7"/>
      <c r="F755" s="7"/>
      <c r="G755" s="7"/>
    </row>
    <row r="756" spans="1:7" ht="22.5" customHeight="1">
      <c r="A756" s="7"/>
      <c r="B756" s="7"/>
      <c r="C756" s="7"/>
      <c r="D756" s="7"/>
      <c r="E756" s="7"/>
      <c r="F756" s="7"/>
      <c r="G756" s="7"/>
    </row>
    <row r="757" spans="1:7" ht="22.5" customHeight="1">
      <c r="A757" s="7"/>
      <c r="B757" s="7"/>
      <c r="C757" s="7"/>
      <c r="D757" s="7"/>
      <c r="E757" s="7"/>
      <c r="F757" s="7"/>
      <c r="G757" s="7"/>
    </row>
    <row r="758" spans="1:7" ht="22.5" customHeight="1">
      <c r="A758" s="7"/>
      <c r="B758" s="7"/>
      <c r="C758" s="7"/>
      <c r="D758" s="7"/>
      <c r="E758" s="7"/>
      <c r="F758" s="7"/>
      <c r="G758" s="7"/>
    </row>
    <row r="759" spans="1:7" ht="22.5" customHeight="1">
      <c r="A759" s="7"/>
      <c r="B759" s="7"/>
      <c r="C759" s="7"/>
      <c r="D759" s="7"/>
      <c r="E759" s="7"/>
      <c r="F759" s="7"/>
      <c r="G759" s="7"/>
    </row>
    <row r="760" spans="1:7" ht="22.5" customHeight="1">
      <c r="A760" s="7"/>
      <c r="B760" s="7"/>
      <c r="C760" s="7"/>
      <c r="D760" s="7"/>
      <c r="E760" s="7"/>
      <c r="F760" s="7"/>
      <c r="G760" s="7"/>
    </row>
    <row r="761" spans="1:7" ht="22.5" customHeight="1">
      <c r="A761" s="7"/>
      <c r="B761" s="7"/>
      <c r="C761" s="7"/>
      <c r="D761" s="7"/>
      <c r="E761" s="7"/>
      <c r="F761" s="7"/>
      <c r="G761" s="7"/>
    </row>
    <row r="762" spans="1:7" ht="22.5" customHeight="1">
      <c r="A762" s="7"/>
      <c r="B762" s="7"/>
      <c r="C762" s="7"/>
      <c r="D762" s="7"/>
      <c r="E762" s="7"/>
      <c r="F762" s="7"/>
      <c r="G762" s="7"/>
    </row>
    <row r="763" spans="1:7" ht="22.5" customHeight="1">
      <c r="A763" s="7"/>
      <c r="B763" s="7"/>
      <c r="C763" s="7"/>
      <c r="D763" s="7"/>
      <c r="E763" s="7"/>
      <c r="F763" s="7"/>
      <c r="G763" s="7"/>
    </row>
    <row r="764" spans="1:7" ht="22.5" customHeight="1">
      <c r="A764" s="7"/>
      <c r="B764" s="7"/>
      <c r="C764" s="7"/>
      <c r="D764" s="7"/>
      <c r="E764" s="7"/>
      <c r="F764" s="7"/>
      <c r="G764" s="7"/>
    </row>
    <row r="765" spans="1:7" ht="22.5" customHeight="1">
      <c r="A765" s="7"/>
      <c r="B765" s="7"/>
      <c r="C765" s="7"/>
      <c r="D765" s="7"/>
      <c r="E765" s="7"/>
      <c r="F765" s="7"/>
      <c r="G765" s="7"/>
    </row>
    <row r="766" spans="1:7" ht="22.5" customHeight="1">
      <c r="A766" s="7"/>
      <c r="B766" s="7"/>
      <c r="C766" s="7"/>
      <c r="D766" s="7"/>
      <c r="E766" s="7"/>
      <c r="F766" s="7"/>
      <c r="G766" s="7"/>
    </row>
    <row r="767" spans="1:7" ht="22.5" customHeight="1">
      <c r="A767" s="7"/>
      <c r="B767" s="7"/>
      <c r="C767" s="7"/>
      <c r="D767" s="7"/>
      <c r="E767" s="7"/>
      <c r="F767" s="7"/>
      <c r="G767" s="7"/>
    </row>
    <row r="768" spans="1:7" ht="22.5" customHeight="1">
      <c r="A768" s="7"/>
      <c r="B768" s="7"/>
      <c r="C768" s="7"/>
      <c r="D768" s="7"/>
      <c r="E768" s="7"/>
      <c r="F768" s="7"/>
      <c r="G768" s="7"/>
    </row>
    <row r="769" spans="1:7" ht="22.5" customHeight="1">
      <c r="A769" s="7"/>
      <c r="B769" s="7"/>
      <c r="C769" s="7"/>
      <c r="D769" s="7"/>
      <c r="E769" s="7"/>
      <c r="F769" s="7"/>
      <c r="G769" s="7"/>
    </row>
    <row r="770" spans="1:7" ht="22.5" customHeight="1">
      <c r="A770" s="7"/>
      <c r="B770" s="7"/>
      <c r="C770" s="7"/>
      <c r="D770" s="7"/>
      <c r="E770" s="7"/>
      <c r="F770" s="7"/>
      <c r="G770" s="7"/>
    </row>
    <row r="771" spans="1:7" ht="22.5" customHeight="1">
      <c r="A771" s="7"/>
      <c r="B771" s="7"/>
      <c r="C771" s="7"/>
      <c r="D771" s="7"/>
      <c r="E771" s="7"/>
      <c r="F771" s="7"/>
      <c r="G771" s="7"/>
    </row>
    <row r="772" spans="1:7" ht="22.5" customHeight="1">
      <c r="A772" s="7"/>
      <c r="B772" s="7"/>
      <c r="C772" s="7"/>
      <c r="D772" s="7"/>
      <c r="E772" s="7"/>
      <c r="F772" s="7"/>
      <c r="G772" s="7"/>
    </row>
    <row r="773" spans="1:7" ht="22.5" customHeight="1">
      <c r="A773" s="7"/>
      <c r="B773" s="7"/>
      <c r="C773" s="7"/>
      <c r="D773" s="7"/>
      <c r="E773" s="7"/>
      <c r="F773" s="7"/>
      <c r="G773" s="7"/>
    </row>
    <row r="774" spans="1:7" ht="22.5" customHeight="1">
      <c r="A774" s="7"/>
      <c r="B774" s="7"/>
      <c r="C774" s="7"/>
      <c r="D774" s="7"/>
      <c r="E774" s="7"/>
      <c r="F774" s="7"/>
      <c r="G774" s="7"/>
    </row>
    <row r="775" spans="1:7" ht="22.5" customHeight="1">
      <c r="A775" s="7"/>
      <c r="B775" s="7"/>
      <c r="C775" s="7"/>
      <c r="D775" s="7"/>
      <c r="E775" s="7"/>
      <c r="F775" s="7"/>
      <c r="G775" s="7"/>
    </row>
    <row r="776" spans="1:7" ht="22.5" customHeight="1">
      <c r="A776" s="7"/>
      <c r="B776" s="7"/>
      <c r="C776" s="7"/>
      <c r="D776" s="7"/>
      <c r="E776" s="7"/>
      <c r="F776" s="7"/>
      <c r="G776" s="7"/>
    </row>
    <row r="777" spans="1:7" ht="22.5" customHeight="1">
      <c r="A777" s="7"/>
      <c r="B777" s="7"/>
      <c r="C777" s="7"/>
      <c r="D777" s="7"/>
      <c r="E777" s="7"/>
      <c r="F777" s="7"/>
      <c r="G777" s="7"/>
    </row>
    <row r="778" spans="1:7" ht="22.5" customHeight="1">
      <c r="A778" s="7"/>
      <c r="B778" s="7"/>
      <c r="C778" s="7"/>
      <c r="D778" s="7"/>
      <c r="E778" s="7"/>
      <c r="F778" s="7"/>
      <c r="G778" s="7"/>
    </row>
    <row r="779" spans="1:7" ht="22.5" customHeight="1">
      <c r="A779" s="7"/>
      <c r="B779" s="7"/>
      <c r="C779" s="7"/>
      <c r="D779" s="7"/>
      <c r="E779" s="7"/>
      <c r="F779" s="7"/>
      <c r="G779" s="7"/>
    </row>
    <row r="780" spans="1:7" ht="22.5" customHeight="1">
      <c r="A780" s="7"/>
      <c r="B780" s="7"/>
      <c r="C780" s="7"/>
      <c r="D780" s="7"/>
      <c r="E780" s="7"/>
      <c r="F780" s="7"/>
      <c r="G780" s="7"/>
    </row>
    <row r="781" spans="1:7" ht="22.5" customHeight="1">
      <c r="A781" s="7"/>
      <c r="B781" s="7"/>
      <c r="C781" s="7"/>
      <c r="D781" s="7"/>
      <c r="E781" s="7"/>
      <c r="F781" s="7"/>
      <c r="G781" s="7"/>
    </row>
    <row r="782" spans="1:7" ht="22.5" customHeight="1">
      <c r="A782" s="7"/>
      <c r="B782" s="7"/>
      <c r="C782" s="7"/>
      <c r="D782" s="7"/>
      <c r="E782" s="7"/>
      <c r="F782" s="7"/>
      <c r="G782" s="7"/>
    </row>
    <row r="783" spans="1:7" ht="22.5" customHeight="1">
      <c r="A783" s="7"/>
      <c r="B783" s="7"/>
      <c r="C783" s="7"/>
      <c r="D783" s="7"/>
      <c r="E783" s="7"/>
      <c r="F783" s="7"/>
      <c r="G783" s="7"/>
    </row>
    <row r="784" spans="1:7" ht="22.5" customHeight="1">
      <c r="A784" s="7"/>
      <c r="B784" s="7"/>
      <c r="C784" s="7"/>
      <c r="D784" s="7"/>
      <c r="E784" s="7"/>
      <c r="F784" s="7"/>
      <c r="G784" s="7"/>
    </row>
    <row r="785" spans="1:7" ht="22.5" customHeight="1">
      <c r="A785" s="7"/>
      <c r="B785" s="7"/>
      <c r="C785" s="7"/>
      <c r="D785" s="7"/>
      <c r="E785" s="7"/>
      <c r="F785" s="7"/>
      <c r="G785" s="7"/>
    </row>
    <row r="786" spans="1:7" ht="22.5" customHeight="1">
      <c r="A786" s="7"/>
      <c r="B786" s="7"/>
      <c r="C786" s="7"/>
      <c r="D786" s="7"/>
      <c r="E786" s="7"/>
      <c r="F786" s="7"/>
      <c r="G786" s="7"/>
    </row>
    <row r="787" spans="1:7" ht="22.5" customHeight="1">
      <c r="A787" s="7"/>
      <c r="B787" s="7"/>
      <c r="C787" s="7"/>
      <c r="D787" s="7"/>
      <c r="E787" s="7"/>
      <c r="F787" s="7"/>
      <c r="G787" s="7"/>
    </row>
    <row r="788" spans="1:7" ht="22.5" customHeight="1">
      <c r="A788" s="7"/>
      <c r="B788" s="7"/>
      <c r="C788" s="7"/>
      <c r="D788" s="7"/>
      <c r="E788" s="7"/>
      <c r="F788" s="7"/>
      <c r="G788" s="7"/>
    </row>
    <row r="789" spans="1:7" ht="22.5" customHeight="1">
      <c r="A789" s="7"/>
      <c r="B789" s="7"/>
      <c r="C789" s="7"/>
      <c r="D789" s="7"/>
      <c r="E789" s="7"/>
      <c r="F789" s="7"/>
      <c r="G789" s="7"/>
    </row>
    <row r="790" spans="1:7" ht="22.5" customHeight="1">
      <c r="A790" s="7"/>
      <c r="B790" s="7"/>
      <c r="C790" s="7"/>
      <c r="D790" s="7"/>
      <c r="E790" s="7"/>
      <c r="F790" s="7"/>
      <c r="G790" s="7"/>
    </row>
    <row r="791" spans="1:7" ht="22.5" customHeight="1">
      <c r="A791" s="7"/>
      <c r="B791" s="7"/>
      <c r="C791" s="7"/>
      <c r="D791" s="7"/>
      <c r="E791" s="7"/>
      <c r="F791" s="7"/>
      <c r="G791" s="7"/>
    </row>
    <row r="792" spans="1:7" ht="22.5" customHeight="1">
      <c r="A792" s="7"/>
      <c r="B792" s="7"/>
      <c r="C792" s="7"/>
      <c r="D792" s="7"/>
      <c r="E792" s="7"/>
      <c r="F792" s="7"/>
      <c r="G792" s="7"/>
    </row>
    <row r="793" spans="1:7" ht="22.5" customHeight="1">
      <c r="A793" s="7"/>
      <c r="B793" s="7"/>
      <c r="C793" s="7"/>
      <c r="D793" s="7"/>
      <c r="E793" s="7"/>
      <c r="F793" s="7"/>
      <c r="G793" s="7"/>
    </row>
    <row r="794" spans="1:7" ht="22.5" customHeight="1">
      <c r="A794" s="7"/>
      <c r="B794" s="7"/>
      <c r="C794" s="7"/>
      <c r="D794" s="7"/>
      <c r="E794" s="7"/>
      <c r="F794" s="7"/>
      <c r="G794" s="7"/>
    </row>
    <row r="795" spans="1:7" ht="22.5" customHeight="1">
      <c r="A795" s="7"/>
      <c r="B795" s="7"/>
      <c r="C795" s="7"/>
      <c r="D795" s="7"/>
      <c r="E795" s="7"/>
      <c r="F795" s="7"/>
      <c r="G795" s="7"/>
    </row>
    <row r="796" spans="1:7" ht="22.5" customHeight="1">
      <c r="A796" s="7"/>
      <c r="B796" s="7"/>
      <c r="C796" s="7"/>
      <c r="D796" s="7"/>
      <c r="E796" s="7"/>
      <c r="F796" s="7"/>
      <c r="G796" s="7"/>
    </row>
    <row r="797" spans="1:7" ht="22.5" customHeight="1">
      <c r="A797" s="7"/>
      <c r="B797" s="7"/>
      <c r="C797" s="7"/>
      <c r="D797" s="7"/>
      <c r="E797" s="7"/>
      <c r="F797" s="7"/>
      <c r="G797" s="7"/>
    </row>
    <row r="798" spans="1:7" ht="22.5" customHeight="1">
      <c r="A798" s="7"/>
      <c r="B798" s="7"/>
      <c r="C798" s="7"/>
      <c r="D798" s="7"/>
      <c r="E798" s="7"/>
      <c r="F798" s="7"/>
      <c r="G798" s="7"/>
    </row>
    <row r="799" spans="1:7" ht="22.5" customHeight="1">
      <c r="A799" s="7"/>
      <c r="B799" s="7"/>
      <c r="C799" s="7"/>
      <c r="D799" s="7"/>
      <c r="E799" s="7"/>
      <c r="F799" s="7"/>
      <c r="G799" s="7"/>
    </row>
    <row r="800" spans="1:7" ht="22.5" customHeight="1">
      <c r="A800" s="7"/>
      <c r="B800" s="7"/>
      <c r="C800" s="7"/>
      <c r="D800" s="7"/>
      <c r="E800" s="7"/>
      <c r="F800" s="7"/>
      <c r="G800" s="7"/>
    </row>
    <row r="801" spans="1:7" ht="22.5" customHeight="1">
      <c r="A801" s="7"/>
      <c r="B801" s="7"/>
      <c r="C801" s="7"/>
      <c r="D801" s="7"/>
      <c r="E801" s="7"/>
      <c r="F801" s="7"/>
      <c r="G801" s="7"/>
    </row>
    <row r="802" spans="1:7" ht="22.5" customHeight="1">
      <c r="A802" s="7"/>
      <c r="B802" s="7"/>
      <c r="C802" s="7"/>
      <c r="D802" s="7"/>
      <c r="E802" s="7"/>
      <c r="F802" s="7"/>
      <c r="G802" s="7"/>
    </row>
    <row r="803" spans="1:7" ht="22.5" customHeight="1">
      <c r="A803" s="7"/>
      <c r="B803" s="7"/>
      <c r="C803" s="7"/>
      <c r="D803" s="7"/>
      <c r="E803" s="7"/>
      <c r="F803" s="7"/>
      <c r="G803" s="7"/>
    </row>
    <row r="804" spans="1:7" ht="22.5" customHeight="1">
      <c r="A804" s="7"/>
      <c r="B804" s="7"/>
      <c r="C804" s="7"/>
      <c r="D804" s="7"/>
      <c r="E804" s="7"/>
      <c r="F804" s="7"/>
      <c r="G804" s="7"/>
    </row>
    <row r="805" spans="1:7" ht="22.5" customHeight="1">
      <c r="A805" s="7"/>
      <c r="B805" s="7"/>
      <c r="C805" s="7"/>
      <c r="D805" s="7"/>
      <c r="E805" s="7"/>
      <c r="F805" s="7"/>
      <c r="G805" s="7"/>
    </row>
    <row r="806" spans="1:7" ht="22.5" customHeight="1">
      <c r="A806" s="7"/>
      <c r="B806" s="7"/>
      <c r="C806" s="7"/>
      <c r="D806" s="7"/>
      <c r="E806" s="7"/>
      <c r="F806" s="7"/>
      <c r="G806" s="7"/>
    </row>
    <row r="807" spans="1:7" ht="22.5" customHeight="1">
      <c r="A807" s="7"/>
      <c r="B807" s="7"/>
      <c r="C807" s="7"/>
      <c r="D807" s="7"/>
      <c r="E807" s="7"/>
      <c r="F807" s="7"/>
      <c r="G807" s="7"/>
    </row>
    <row r="808" spans="1:7" ht="22.5" customHeight="1">
      <c r="A808" s="7"/>
      <c r="B808" s="7"/>
      <c r="C808" s="7"/>
      <c r="D808" s="7"/>
      <c r="E808" s="7"/>
      <c r="F808" s="7"/>
      <c r="G808" s="7"/>
    </row>
    <row r="809" spans="1:7" ht="22.5" customHeight="1">
      <c r="A809" s="7"/>
      <c r="B809" s="7"/>
      <c r="C809" s="7"/>
      <c r="D809" s="7"/>
      <c r="E809" s="7"/>
      <c r="F809" s="7"/>
      <c r="G809" s="7"/>
    </row>
    <row r="810" spans="1:7" ht="22.5" customHeight="1">
      <c r="A810" s="7"/>
      <c r="B810" s="7"/>
      <c r="C810" s="7"/>
      <c r="D810" s="7"/>
      <c r="E810" s="7"/>
      <c r="F810" s="7"/>
      <c r="G810" s="7"/>
    </row>
    <row r="811" spans="1:7" ht="22.5" customHeight="1">
      <c r="A811" s="7"/>
      <c r="B811" s="7"/>
      <c r="C811" s="7"/>
      <c r="D811" s="7"/>
      <c r="E811" s="7"/>
      <c r="F811" s="7"/>
      <c r="G811" s="7"/>
    </row>
    <row r="812" spans="1:7" ht="22.5" customHeight="1">
      <c r="A812" s="7"/>
      <c r="B812" s="7"/>
      <c r="C812" s="7"/>
      <c r="D812" s="7"/>
      <c r="E812" s="7"/>
      <c r="F812" s="7"/>
      <c r="G812" s="7"/>
    </row>
    <row r="813" spans="1:7" ht="22.5" customHeight="1">
      <c r="A813" s="7"/>
      <c r="B813" s="7"/>
      <c r="C813" s="7"/>
      <c r="D813" s="7"/>
      <c r="E813" s="7"/>
      <c r="F813" s="7"/>
      <c r="G813" s="7"/>
    </row>
    <row r="814" spans="1:7" ht="22.5" customHeight="1">
      <c r="A814" s="7"/>
      <c r="B814" s="7"/>
      <c r="C814" s="7"/>
      <c r="D814" s="7"/>
      <c r="E814" s="7"/>
      <c r="F814" s="7"/>
      <c r="G814" s="7"/>
    </row>
    <row r="815" spans="1:7" ht="22.5" customHeight="1">
      <c r="A815" s="7"/>
      <c r="B815" s="7"/>
      <c r="C815" s="7"/>
      <c r="D815" s="7"/>
      <c r="E815" s="7"/>
      <c r="F815" s="7"/>
      <c r="G815" s="7"/>
    </row>
    <row r="816" spans="1:7" ht="22.5" customHeight="1">
      <c r="A816" s="7"/>
      <c r="B816" s="7"/>
      <c r="C816" s="7"/>
      <c r="D816" s="7"/>
      <c r="E816" s="7"/>
      <c r="F816" s="7"/>
      <c r="G816" s="7"/>
    </row>
    <row r="817" spans="1:7" ht="22.5" customHeight="1">
      <c r="A817" s="7"/>
      <c r="B817" s="7"/>
      <c r="C817" s="7"/>
      <c r="D817" s="7"/>
      <c r="E817" s="7"/>
      <c r="F817" s="7"/>
      <c r="G817" s="7"/>
    </row>
    <row r="818" spans="1:7" ht="22.5" customHeight="1">
      <c r="A818" s="7"/>
      <c r="B818" s="7"/>
      <c r="C818" s="7"/>
      <c r="D818" s="7"/>
      <c r="E818" s="7"/>
      <c r="F818" s="7"/>
      <c r="G818" s="7"/>
    </row>
    <row r="819" spans="1:7" ht="22.5" customHeight="1">
      <c r="A819" s="7"/>
      <c r="B819" s="7"/>
      <c r="C819" s="7"/>
      <c r="D819" s="7"/>
      <c r="E819" s="7"/>
      <c r="F819" s="7"/>
      <c r="G819" s="7"/>
    </row>
    <row r="820" spans="1:7" ht="22.5" customHeight="1">
      <c r="A820" s="7"/>
      <c r="B820" s="7"/>
      <c r="C820" s="7"/>
      <c r="D820" s="7"/>
      <c r="E820" s="7"/>
      <c r="F820" s="7"/>
      <c r="G820" s="7"/>
    </row>
    <row r="821" spans="1:7" ht="22.5" customHeight="1">
      <c r="A821" s="7"/>
      <c r="B821" s="7"/>
      <c r="C821" s="7"/>
      <c r="D821" s="7"/>
      <c r="E821" s="7"/>
      <c r="F821" s="7"/>
      <c r="G821" s="7"/>
    </row>
    <row r="822" spans="1:7" ht="22.5" customHeight="1">
      <c r="A822" s="7"/>
      <c r="B822" s="7"/>
      <c r="C822" s="7"/>
      <c r="D822" s="7"/>
      <c r="E822" s="7"/>
      <c r="F822" s="7"/>
      <c r="G822" s="7"/>
    </row>
    <row r="823" spans="1:7" ht="22.5" customHeight="1">
      <c r="A823" s="7"/>
      <c r="B823" s="7"/>
      <c r="C823" s="7"/>
      <c r="D823" s="7"/>
      <c r="E823" s="7"/>
      <c r="F823" s="7"/>
      <c r="G823" s="7"/>
    </row>
    <row r="824" spans="1:7" ht="22.5" customHeight="1">
      <c r="A824" s="7"/>
      <c r="B824" s="7"/>
      <c r="C824" s="7"/>
      <c r="D824" s="7"/>
      <c r="E824" s="7"/>
      <c r="F824" s="7"/>
      <c r="G824" s="7"/>
    </row>
    <row r="825" spans="1:7" ht="22.5" customHeight="1">
      <c r="A825" s="7"/>
      <c r="B825" s="7"/>
      <c r="C825" s="7"/>
      <c r="D825" s="7"/>
      <c r="E825" s="7"/>
      <c r="F825" s="7"/>
      <c r="G825" s="7"/>
    </row>
    <row r="826" spans="1:7" ht="22.5" customHeight="1">
      <c r="A826" s="7"/>
      <c r="B826" s="7"/>
      <c r="C826" s="7"/>
      <c r="D826" s="7"/>
      <c r="E826" s="7"/>
      <c r="F826" s="7"/>
      <c r="G826" s="7"/>
    </row>
    <row r="827" spans="1:7" ht="22.5" customHeight="1">
      <c r="A827" s="7"/>
      <c r="B827" s="7"/>
      <c r="C827" s="7"/>
      <c r="D827" s="7"/>
      <c r="E827" s="7"/>
      <c r="F827" s="7"/>
      <c r="G827" s="7"/>
    </row>
    <row r="828" spans="1:7" ht="22.5" customHeight="1">
      <c r="A828" s="7"/>
      <c r="B828" s="7"/>
      <c r="C828" s="7"/>
      <c r="D828" s="7"/>
      <c r="E828" s="7"/>
      <c r="F828" s="7"/>
      <c r="G828" s="7"/>
    </row>
    <row r="829" spans="1:7" ht="22.5" customHeight="1">
      <c r="A829" s="7"/>
      <c r="B829" s="7"/>
      <c r="C829" s="7"/>
      <c r="D829" s="7"/>
      <c r="E829" s="7"/>
      <c r="F829" s="7"/>
      <c r="G829" s="7"/>
    </row>
    <row r="830" spans="1:7" ht="22.5" customHeight="1">
      <c r="A830" s="7"/>
      <c r="B830" s="7"/>
      <c r="C830" s="7"/>
      <c r="D830" s="7"/>
      <c r="E830" s="7"/>
      <c r="F830" s="7"/>
      <c r="G830" s="7"/>
    </row>
    <row r="831" spans="1:7" ht="22.5" customHeight="1">
      <c r="A831" s="7"/>
      <c r="B831" s="7"/>
      <c r="C831" s="7"/>
      <c r="D831" s="7"/>
      <c r="E831" s="7"/>
      <c r="F831" s="7"/>
      <c r="G831" s="7"/>
    </row>
    <row r="832" spans="1:7" ht="22.5" customHeight="1">
      <c r="A832" s="7"/>
      <c r="B832" s="7"/>
      <c r="C832" s="7"/>
      <c r="D832" s="7"/>
      <c r="E832" s="7"/>
      <c r="F832" s="7"/>
      <c r="G832" s="7"/>
    </row>
    <row r="833" spans="1:7" ht="22.5" customHeight="1">
      <c r="A833" s="7"/>
      <c r="B833" s="7"/>
      <c r="C833" s="7"/>
      <c r="D833" s="7"/>
      <c r="E833" s="7"/>
      <c r="F833" s="7"/>
      <c r="G833" s="7"/>
    </row>
    <row r="834" spans="1:7" ht="22.5" customHeight="1">
      <c r="A834" s="7"/>
      <c r="B834" s="7"/>
      <c r="C834" s="7"/>
      <c r="D834" s="7"/>
      <c r="E834" s="7"/>
      <c r="F834" s="7"/>
      <c r="G834" s="7"/>
    </row>
    <row r="835" spans="1:7" ht="22.5" customHeight="1">
      <c r="A835" s="7"/>
      <c r="B835" s="7"/>
      <c r="C835" s="7"/>
      <c r="D835" s="7"/>
      <c r="E835" s="7"/>
      <c r="F835" s="7"/>
      <c r="G835" s="7"/>
    </row>
    <row r="836" spans="1:7" ht="22.5" customHeight="1">
      <c r="A836" s="7"/>
      <c r="B836" s="7"/>
      <c r="C836" s="7"/>
      <c r="D836" s="7"/>
      <c r="E836" s="7"/>
      <c r="F836" s="7"/>
      <c r="G836" s="7"/>
    </row>
    <row r="837" spans="1:7" ht="22.5" customHeight="1">
      <c r="A837" s="7"/>
      <c r="B837" s="7"/>
      <c r="C837" s="7"/>
      <c r="D837" s="7"/>
      <c r="E837" s="7"/>
      <c r="F837" s="7"/>
      <c r="G837" s="7"/>
    </row>
    <row r="838" spans="1:7" ht="22.5" customHeight="1">
      <c r="A838" s="7"/>
      <c r="B838" s="7"/>
      <c r="C838" s="7"/>
      <c r="D838" s="7"/>
      <c r="E838" s="7"/>
      <c r="F838" s="7"/>
      <c r="G838" s="7"/>
    </row>
    <row r="839" spans="1:7" ht="22.5" customHeight="1">
      <c r="A839" s="7"/>
      <c r="B839" s="7"/>
      <c r="C839" s="7"/>
      <c r="D839" s="7"/>
      <c r="E839" s="7"/>
      <c r="F839" s="7"/>
      <c r="G839" s="7"/>
    </row>
    <row r="840" spans="1:7" ht="22.5" customHeight="1">
      <c r="A840" s="7"/>
      <c r="B840" s="7"/>
      <c r="C840" s="7"/>
      <c r="D840" s="7"/>
      <c r="E840" s="7"/>
      <c r="F840" s="7"/>
      <c r="G840" s="7"/>
    </row>
    <row r="841" spans="1:7" ht="22.5" customHeight="1">
      <c r="A841" s="7"/>
      <c r="B841" s="7"/>
      <c r="C841" s="7"/>
      <c r="D841" s="7"/>
      <c r="E841" s="7"/>
      <c r="F841" s="7"/>
      <c r="G841" s="7"/>
    </row>
    <row r="842" spans="1:7" ht="22.5" customHeight="1">
      <c r="A842" s="7"/>
      <c r="B842" s="7"/>
      <c r="C842" s="7"/>
      <c r="D842" s="7"/>
      <c r="E842" s="7"/>
      <c r="F842" s="7"/>
      <c r="G842" s="7"/>
    </row>
    <row r="843" spans="1:7" ht="22.5" customHeight="1">
      <c r="A843" s="7"/>
      <c r="B843" s="7"/>
      <c r="C843" s="7"/>
      <c r="D843" s="7"/>
      <c r="E843" s="7"/>
      <c r="F843" s="7"/>
      <c r="G843" s="7"/>
    </row>
    <row r="844" spans="1:7" ht="22.5" customHeight="1">
      <c r="A844" s="7"/>
      <c r="B844" s="7"/>
      <c r="C844" s="7"/>
      <c r="D844" s="7"/>
      <c r="E844" s="7"/>
      <c r="F844" s="7"/>
      <c r="G844" s="7"/>
    </row>
    <row r="845" spans="1:7" ht="22.5" customHeight="1">
      <c r="A845" s="7"/>
      <c r="B845" s="7"/>
      <c r="C845" s="7"/>
      <c r="D845" s="7"/>
      <c r="E845" s="7"/>
      <c r="F845" s="7"/>
      <c r="G845" s="7"/>
    </row>
    <row r="846" spans="1:7" ht="22.5" customHeight="1">
      <c r="A846" s="7"/>
      <c r="B846" s="7"/>
      <c r="C846" s="7"/>
      <c r="D846" s="7"/>
      <c r="E846" s="7"/>
      <c r="F846" s="7"/>
      <c r="G846" s="7"/>
    </row>
    <row r="847" spans="1:7" ht="22.5" customHeight="1">
      <c r="A847" s="7"/>
      <c r="B847" s="7"/>
      <c r="C847" s="7"/>
      <c r="D847" s="7"/>
      <c r="E847" s="7"/>
      <c r="F847" s="7"/>
      <c r="G847" s="7"/>
    </row>
    <row r="848" spans="1:7" ht="22.5" customHeight="1">
      <c r="A848" s="7"/>
      <c r="B848" s="7"/>
      <c r="C848" s="7"/>
      <c r="D848" s="7"/>
      <c r="E848" s="7"/>
      <c r="F848" s="7"/>
      <c r="G848" s="7"/>
    </row>
    <row r="849" spans="1:7" ht="22.5" customHeight="1">
      <c r="A849" s="7"/>
      <c r="B849" s="7"/>
      <c r="C849" s="7"/>
      <c r="D849" s="7"/>
      <c r="E849" s="7"/>
      <c r="F849" s="7"/>
      <c r="G849" s="7"/>
    </row>
    <row r="850" spans="1:7" ht="22.5" customHeight="1">
      <c r="A850" s="7"/>
      <c r="B850" s="7"/>
      <c r="C850" s="7"/>
      <c r="D850" s="7"/>
      <c r="E850" s="7"/>
      <c r="F850" s="7"/>
      <c r="G850" s="7"/>
    </row>
    <row r="851" spans="1:7" ht="22.5" customHeight="1">
      <c r="A851" s="7"/>
      <c r="B851" s="7"/>
      <c r="C851" s="7"/>
      <c r="D851" s="7"/>
      <c r="E851" s="7"/>
      <c r="F851" s="7"/>
      <c r="G851" s="7"/>
    </row>
    <row r="852" spans="1:7" ht="22.5" customHeight="1">
      <c r="A852" s="7"/>
      <c r="B852" s="7"/>
      <c r="C852" s="7"/>
      <c r="D852" s="7"/>
      <c r="E852" s="7"/>
      <c r="F852" s="7"/>
      <c r="G852" s="7"/>
    </row>
    <row r="853" spans="1:7" ht="22.5" customHeight="1">
      <c r="A853" s="7"/>
      <c r="B853" s="7"/>
      <c r="C853" s="7"/>
      <c r="D853" s="7"/>
      <c r="E853" s="7"/>
      <c r="F853" s="7"/>
      <c r="G853" s="7"/>
    </row>
    <row r="854" spans="1:7" ht="22.5" customHeight="1">
      <c r="A854" s="7"/>
      <c r="B854" s="7"/>
      <c r="C854" s="7"/>
      <c r="D854" s="7"/>
      <c r="E854" s="7"/>
      <c r="F854" s="7"/>
      <c r="G854" s="7"/>
    </row>
    <row r="855" spans="1:7" ht="22.5" customHeight="1">
      <c r="A855" s="7"/>
      <c r="B855" s="7"/>
      <c r="C855" s="7"/>
      <c r="D855" s="7"/>
      <c r="E855" s="7"/>
      <c r="F855" s="7"/>
      <c r="G855" s="7"/>
    </row>
    <row r="856" spans="1:7" ht="22.5" customHeight="1">
      <c r="A856" s="7"/>
      <c r="B856" s="7"/>
      <c r="C856" s="7"/>
      <c r="D856" s="7"/>
      <c r="E856" s="7"/>
      <c r="F856" s="7"/>
      <c r="G856" s="7"/>
    </row>
    <row r="857" spans="1:7" ht="22.5" customHeight="1">
      <c r="A857" s="7"/>
      <c r="B857" s="7"/>
      <c r="C857" s="7"/>
      <c r="D857" s="7"/>
      <c r="E857" s="7"/>
      <c r="F857" s="7"/>
      <c r="G857" s="7"/>
    </row>
    <row r="858" spans="1:7" ht="22.5" customHeight="1">
      <c r="A858" s="7"/>
      <c r="B858" s="7"/>
      <c r="C858" s="7"/>
      <c r="D858" s="7"/>
      <c r="E858" s="7"/>
      <c r="F858" s="7"/>
      <c r="G858" s="7"/>
    </row>
    <row r="859" spans="1:7" ht="22.5" customHeight="1">
      <c r="A859" s="7"/>
      <c r="B859" s="7"/>
      <c r="C859" s="7"/>
      <c r="D859" s="7"/>
      <c r="E859" s="7"/>
      <c r="F859" s="7"/>
      <c r="G859" s="7"/>
    </row>
    <row r="860" spans="1:7" ht="22.5" customHeight="1">
      <c r="A860" s="7"/>
      <c r="B860" s="7"/>
      <c r="C860" s="7"/>
      <c r="D860" s="7"/>
      <c r="E860" s="7"/>
      <c r="F860" s="7"/>
      <c r="G860" s="7"/>
    </row>
    <row r="861" spans="1:7" ht="22.5" customHeight="1">
      <c r="A861" s="7"/>
      <c r="B861" s="7"/>
      <c r="C861" s="7"/>
      <c r="D861" s="7"/>
      <c r="E861" s="7"/>
      <c r="F861" s="7"/>
      <c r="G861" s="7"/>
    </row>
    <row r="862" spans="1:7" ht="22.5" customHeight="1">
      <c r="A862" s="7"/>
      <c r="B862" s="7"/>
      <c r="C862" s="7"/>
      <c r="D862" s="7"/>
      <c r="E862" s="7"/>
      <c r="F862" s="7"/>
      <c r="G862" s="7"/>
    </row>
    <row r="863" spans="1:7" ht="22.5" customHeight="1">
      <c r="A863" s="7"/>
      <c r="B863" s="7"/>
      <c r="C863" s="7"/>
      <c r="D863" s="7"/>
      <c r="E863" s="7"/>
      <c r="F863" s="7"/>
      <c r="G863" s="7"/>
    </row>
    <row r="864" spans="1:7" ht="22.5" customHeight="1">
      <c r="A864" s="7"/>
      <c r="B864" s="7"/>
      <c r="C864" s="7"/>
      <c r="D864" s="7"/>
      <c r="E864" s="7"/>
      <c r="F864" s="7"/>
      <c r="G864" s="7"/>
    </row>
    <row r="865" spans="1:7" ht="22.5" customHeight="1">
      <c r="A865" s="7"/>
      <c r="B865" s="7"/>
      <c r="C865" s="7"/>
      <c r="D865" s="7"/>
      <c r="E865" s="7"/>
      <c r="F865" s="7"/>
      <c r="G865" s="7"/>
    </row>
    <row r="866" spans="1:7" ht="22.5" customHeight="1">
      <c r="A866" s="7"/>
      <c r="B866" s="7"/>
      <c r="C866" s="7"/>
      <c r="D866" s="7"/>
      <c r="E866" s="7"/>
      <c r="F866" s="7"/>
      <c r="G866" s="7"/>
    </row>
    <row r="867" spans="1:7" ht="22.5" customHeight="1">
      <c r="A867" s="7"/>
      <c r="B867" s="7"/>
      <c r="C867" s="7"/>
      <c r="D867" s="7"/>
      <c r="E867" s="7"/>
      <c r="F867" s="7"/>
      <c r="G867" s="7"/>
    </row>
    <row r="868" spans="1:7" ht="22.5" customHeight="1">
      <c r="A868" s="7"/>
      <c r="B868" s="7"/>
      <c r="C868" s="7"/>
      <c r="D868" s="7"/>
      <c r="E868" s="7"/>
      <c r="F868" s="7"/>
      <c r="G868" s="7"/>
    </row>
    <row r="869" spans="1:7" ht="22.5" customHeight="1">
      <c r="A869" s="7"/>
      <c r="B869" s="7"/>
      <c r="C869" s="7"/>
      <c r="D869" s="7"/>
      <c r="E869" s="7"/>
      <c r="F869" s="7"/>
      <c r="G869" s="7"/>
    </row>
    <row r="870" spans="1:7" ht="22.5" customHeight="1">
      <c r="A870" s="7"/>
      <c r="B870" s="7"/>
      <c r="C870" s="7"/>
      <c r="D870" s="7"/>
      <c r="E870" s="7"/>
      <c r="F870" s="7"/>
      <c r="G870" s="7"/>
    </row>
    <row r="871" spans="1:7" ht="22.5" customHeight="1">
      <c r="A871" s="7"/>
      <c r="B871" s="7"/>
      <c r="C871" s="7"/>
      <c r="D871" s="7"/>
      <c r="E871" s="7"/>
      <c r="F871" s="7"/>
      <c r="G871" s="7"/>
    </row>
    <row r="872" spans="1:7" ht="22.5" customHeight="1">
      <c r="A872" s="7"/>
      <c r="B872" s="7"/>
      <c r="C872" s="7"/>
      <c r="D872" s="7"/>
      <c r="E872" s="7"/>
      <c r="F872" s="7"/>
      <c r="G872" s="7"/>
    </row>
    <row r="873" spans="1:7" ht="22.5" customHeight="1">
      <c r="A873" s="7"/>
      <c r="B873" s="7"/>
      <c r="C873" s="7"/>
      <c r="D873" s="7"/>
      <c r="E873" s="7"/>
      <c r="F873" s="7"/>
      <c r="G873" s="7"/>
    </row>
    <row r="874" spans="1:7" ht="22.5" customHeight="1">
      <c r="A874" s="7"/>
      <c r="B874" s="7"/>
      <c r="C874" s="7"/>
      <c r="D874" s="7"/>
      <c r="E874" s="7"/>
      <c r="F874" s="7"/>
      <c r="G874" s="7"/>
    </row>
    <row r="875" spans="1:7" ht="22.5" customHeight="1">
      <c r="A875" s="7"/>
      <c r="B875" s="7"/>
      <c r="C875" s="7"/>
      <c r="D875" s="7"/>
      <c r="E875" s="7"/>
      <c r="F875" s="7"/>
      <c r="G875" s="7"/>
    </row>
    <row r="876" spans="1:7" ht="22.5" customHeight="1">
      <c r="A876" s="7"/>
      <c r="B876" s="7"/>
      <c r="C876" s="7"/>
      <c r="D876" s="7"/>
      <c r="E876" s="7"/>
      <c r="F876" s="7"/>
      <c r="G876" s="7"/>
    </row>
    <row r="877" spans="1:7" ht="22.5" customHeight="1">
      <c r="A877" s="7"/>
      <c r="B877" s="7"/>
      <c r="C877" s="7"/>
      <c r="D877" s="7"/>
      <c r="E877" s="7"/>
      <c r="F877" s="7"/>
      <c r="G877" s="7"/>
    </row>
    <row r="878" spans="1:7" ht="22.5" customHeight="1">
      <c r="A878" s="7"/>
      <c r="B878" s="7"/>
      <c r="C878" s="7"/>
      <c r="D878" s="7"/>
      <c r="E878" s="7"/>
      <c r="F878" s="7"/>
      <c r="G878" s="7"/>
    </row>
    <row r="879" spans="1:7" ht="22.5" customHeight="1">
      <c r="A879" s="7"/>
      <c r="B879" s="7"/>
      <c r="C879" s="7"/>
      <c r="D879" s="7"/>
      <c r="E879" s="7"/>
      <c r="F879" s="7"/>
      <c r="G879" s="7"/>
    </row>
    <row r="880" spans="1:7" ht="22.5" customHeight="1">
      <c r="A880" s="7"/>
      <c r="B880" s="7"/>
      <c r="C880" s="7"/>
      <c r="D880" s="7"/>
      <c r="E880" s="7"/>
      <c r="F880" s="7"/>
      <c r="G880" s="7"/>
    </row>
    <row r="881" spans="1:7" ht="22.5" customHeight="1">
      <c r="A881" s="7"/>
      <c r="B881" s="7"/>
      <c r="C881" s="7"/>
      <c r="D881" s="7"/>
      <c r="E881" s="7"/>
      <c r="F881" s="7"/>
      <c r="G881" s="7"/>
    </row>
    <row r="882" spans="1:7" ht="22.5" customHeight="1">
      <c r="A882" s="7"/>
      <c r="B882" s="7"/>
      <c r="C882" s="7"/>
      <c r="D882" s="7"/>
      <c r="E882" s="7"/>
      <c r="F882" s="7"/>
      <c r="G882" s="7"/>
    </row>
    <row r="883" spans="1:7" ht="22.5" customHeight="1">
      <c r="A883" s="7"/>
      <c r="B883" s="7"/>
      <c r="C883" s="7"/>
      <c r="D883" s="7"/>
      <c r="E883" s="7"/>
      <c r="F883" s="7"/>
      <c r="G883" s="7"/>
    </row>
    <row r="884" spans="1:7" ht="22.5" customHeight="1">
      <c r="A884" s="7"/>
      <c r="B884" s="7"/>
      <c r="C884" s="7"/>
      <c r="D884" s="7"/>
      <c r="E884" s="7"/>
      <c r="F884" s="7"/>
      <c r="G884" s="7"/>
    </row>
    <row r="885" spans="1:7" ht="22.5" customHeight="1">
      <c r="A885" s="7"/>
      <c r="B885" s="7"/>
      <c r="C885" s="7"/>
      <c r="D885" s="7"/>
      <c r="E885" s="7"/>
      <c r="F885" s="7"/>
      <c r="G885" s="7"/>
    </row>
    <row r="886" spans="1:7" ht="22.5" customHeight="1">
      <c r="A886" s="7"/>
      <c r="B886" s="7"/>
      <c r="C886" s="7"/>
      <c r="D886" s="7"/>
      <c r="E886" s="7"/>
      <c r="F886" s="7"/>
      <c r="G886" s="7"/>
    </row>
    <row r="887" spans="1:7" ht="22.5" customHeight="1">
      <c r="A887" s="7"/>
      <c r="B887" s="7"/>
      <c r="C887" s="7"/>
      <c r="D887" s="7"/>
      <c r="E887" s="7"/>
      <c r="F887" s="7"/>
      <c r="G887" s="7"/>
    </row>
    <row r="888" spans="1:7" ht="22.5" customHeight="1">
      <c r="A888" s="7"/>
      <c r="B888" s="7"/>
      <c r="C888" s="7"/>
      <c r="D888" s="7"/>
      <c r="E888" s="7"/>
      <c r="F888" s="7"/>
      <c r="G888" s="7"/>
    </row>
    <row r="889" spans="1:7" ht="22.5" customHeight="1">
      <c r="A889" s="7"/>
      <c r="B889" s="7"/>
      <c r="C889" s="7"/>
      <c r="D889" s="7"/>
      <c r="E889" s="7"/>
      <c r="F889" s="7"/>
      <c r="G889" s="7"/>
    </row>
    <row r="890" spans="1:7" ht="22.5" customHeight="1">
      <c r="A890" s="7"/>
      <c r="B890" s="7"/>
      <c r="C890" s="7"/>
      <c r="D890" s="7"/>
      <c r="E890" s="7"/>
      <c r="F890" s="7"/>
      <c r="G890" s="7"/>
    </row>
    <row r="891" spans="1:7" ht="22.5" customHeight="1">
      <c r="A891" s="7"/>
      <c r="B891" s="7"/>
      <c r="C891" s="7"/>
      <c r="D891" s="7"/>
      <c r="E891" s="7"/>
      <c r="F891" s="7"/>
      <c r="G891" s="7"/>
    </row>
    <row r="892" spans="1:7" ht="22.5" customHeight="1">
      <c r="A892" s="7"/>
      <c r="B892" s="7"/>
      <c r="C892" s="7"/>
      <c r="D892" s="7"/>
      <c r="E892" s="7"/>
      <c r="F892" s="7"/>
      <c r="G892" s="7"/>
    </row>
    <row r="893" spans="1:7" ht="22.5" customHeight="1">
      <c r="A893" s="7"/>
      <c r="B893" s="7"/>
      <c r="C893" s="7"/>
      <c r="D893" s="7"/>
      <c r="E893" s="7"/>
      <c r="F893" s="7"/>
      <c r="G893" s="7"/>
    </row>
    <row r="894" spans="1:7" ht="22.5" customHeight="1">
      <c r="A894" s="7"/>
      <c r="B894" s="7"/>
      <c r="C894" s="7"/>
      <c r="D894" s="7"/>
      <c r="E894" s="7"/>
      <c r="F894" s="7"/>
      <c r="G894" s="7"/>
    </row>
    <row r="895" spans="1:7" ht="22.5" customHeight="1">
      <c r="A895" s="7"/>
      <c r="B895" s="7"/>
      <c r="C895" s="7"/>
      <c r="D895" s="7"/>
      <c r="E895" s="7"/>
      <c r="F895" s="7"/>
      <c r="G895" s="7"/>
    </row>
    <row r="896" spans="1:7" ht="22.5" customHeight="1">
      <c r="A896" s="7"/>
      <c r="B896" s="7"/>
      <c r="C896" s="7"/>
      <c r="D896" s="7"/>
      <c r="E896" s="7"/>
      <c r="F896" s="7"/>
      <c r="G896" s="7"/>
    </row>
    <row r="897" spans="1:7" ht="22.5" customHeight="1">
      <c r="A897" s="7"/>
      <c r="B897" s="7"/>
      <c r="C897" s="7"/>
      <c r="D897" s="7"/>
      <c r="E897" s="7"/>
      <c r="F897" s="7"/>
      <c r="G897" s="7"/>
    </row>
    <row r="898" spans="1:7" ht="22.5" customHeight="1">
      <c r="A898" s="7"/>
      <c r="B898" s="7"/>
      <c r="C898" s="7"/>
      <c r="D898" s="7"/>
      <c r="E898" s="7"/>
      <c r="F898" s="7"/>
      <c r="G898" s="7"/>
    </row>
    <row r="899" spans="1:7" ht="22.5" customHeight="1">
      <c r="A899" s="7"/>
      <c r="B899" s="7"/>
      <c r="C899" s="7"/>
      <c r="D899" s="7"/>
      <c r="E899" s="7"/>
      <c r="F899" s="7"/>
      <c r="G899" s="7"/>
    </row>
    <row r="900" spans="1:7" ht="22.5" customHeight="1">
      <c r="A900" s="7"/>
      <c r="B900" s="7"/>
      <c r="C900" s="7"/>
      <c r="D900" s="7"/>
      <c r="E900" s="7"/>
      <c r="F900" s="7"/>
      <c r="G900" s="7"/>
    </row>
    <row r="901" spans="1:7" ht="22.5" customHeight="1">
      <c r="A901" s="7"/>
      <c r="B901" s="7"/>
      <c r="C901" s="7"/>
      <c r="D901" s="7"/>
      <c r="E901" s="7"/>
      <c r="F901" s="7"/>
      <c r="G901" s="7"/>
    </row>
    <row r="902" spans="1:7" ht="22.5" customHeight="1">
      <c r="A902" s="7"/>
      <c r="B902" s="7"/>
      <c r="C902" s="7"/>
      <c r="D902" s="7"/>
      <c r="E902" s="7"/>
      <c r="F902" s="7"/>
      <c r="G902" s="7"/>
    </row>
    <row r="903" spans="1:7" ht="22.5" customHeight="1">
      <c r="A903" s="7"/>
      <c r="B903" s="7"/>
      <c r="C903" s="7"/>
      <c r="D903" s="7"/>
      <c r="E903" s="7"/>
      <c r="F903" s="7"/>
      <c r="G903" s="7"/>
    </row>
    <row r="904" spans="1:7" ht="22.5" customHeight="1">
      <c r="A904" s="7"/>
      <c r="B904" s="7"/>
      <c r="C904" s="7"/>
      <c r="D904" s="7"/>
      <c r="E904" s="7"/>
      <c r="F904" s="7"/>
      <c r="G904" s="7"/>
    </row>
    <row r="905" spans="1:7" ht="22.5" customHeight="1">
      <c r="A905" s="7"/>
      <c r="B905" s="7"/>
      <c r="C905" s="7"/>
      <c r="D905" s="7"/>
      <c r="E905" s="7"/>
      <c r="F905" s="7"/>
      <c r="G905" s="7"/>
    </row>
    <row r="906" spans="1:7" ht="22.5" customHeight="1">
      <c r="A906" s="7"/>
      <c r="B906" s="7"/>
      <c r="C906" s="7"/>
      <c r="D906" s="7"/>
      <c r="E906" s="7"/>
      <c r="F906" s="7"/>
      <c r="G906" s="7"/>
    </row>
    <row r="907" spans="1:7" ht="22.5" customHeight="1">
      <c r="A907" s="7"/>
      <c r="B907" s="7"/>
      <c r="C907" s="7"/>
      <c r="D907" s="7"/>
      <c r="E907" s="7"/>
      <c r="F907" s="7"/>
      <c r="G907" s="7"/>
    </row>
    <row r="908" spans="1:7" ht="22.5" customHeight="1">
      <c r="A908" s="7"/>
      <c r="B908" s="7"/>
      <c r="C908" s="7"/>
      <c r="D908" s="7"/>
      <c r="E908" s="7"/>
      <c r="F908" s="7"/>
      <c r="G908" s="7"/>
    </row>
    <row r="909" spans="1:7" ht="22.5" customHeight="1">
      <c r="A909" s="7"/>
      <c r="B909" s="7"/>
      <c r="C909" s="7"/>
      <c r="D909" s="7"/>
      <c r="E909" s="7"/>
      <c r="F909" s="7"/>
      <c r="G909" s="7"/>
    </row>
    <row r="910" spans="1:7" ht="22.5" customHeight="1">
      <c r="A910" s="7"/>
      <c r="B910" s="7"/>
      <c r="C910" s="7"/>
      <c r="D910" s="7"/>
      <c r="E910" s="7"/>
      <c r="F910" s="7"/>
      <c r="G910" s="7"/>
    </row>
    <row r="911" spans="1:7" ht="22.5" customHeight="1">
      <c r="A911" s="7"/>
      <c r="B911" s="7"/>
      <c r="C911" s="7"/>
      <c r="D911" s="7"/>
      <c r="E911" s="7"/>
      <c r="F911" s="7"/>
      <c r="G911" s="7"/>
    </row>
    <row r="912" spans="1:7" ht="22.5" customHeight="1">
      <c r="A912" s="7"/>
      <c r="B912" s="7"/>
      <c r="C912" s="7"/>
      <c r="D912" s="7"/>
      <c r="E912" s="7"/>
      <c r="F912" s="7"/>
      <c r="G912" s="7"/>
    </row>
    <row r="913" spans="1:7" ht="22.5" customHeight="1">
      <c r="A913" s="7"/>
      <c r="B913" s="7"/>
      <c r="C913" s="7"/>
      <c r="D913" s="7"/>
      <c r="E913" s="7"/>
      <c r="F913" s="7"/>
      <c r="G913" s="7"/>
    </row>
    <row r="914" spans="1:7" ht="22.5" customHeight="1">
      <c r="A914" s="7"/>
      <c r="B914" s="7"/>
      <c r="C914" s="7"/>
      <c r="D914" s="7"/>
      <c r="E914" s="7"/>
      <c r="F914" s="7"/>
      <c r="G914" s="7"/>
    </row>
    <row r="915" spans="1:7" ht="22.5" customHeight="1">
      <c r="A915" s="7"/>
      <c r="B915" s="7"/>
      <c r="C915" s="7"/>
      <c r="D915" s="7"/>
      <c r="E915" s="7"/>
      <c r="F915" s="7"/>
      <c r="G915" s="7"/>
    </row>
    <row r="916" spans="1:7" ht="22.5" customHeight="1">
      <c r="A916" s="7"/>
      <c r="B916" s="7"/>
      <c r="C916" s="7"/>
      <c r="D916" s="7"/>
      <c r="E916" s="7"/>
      <c r="F916" s="7"/>
      <c r="G916" s="7"/>
    </row>
    <row r="917" spans="1:7" ht="22.5" customHeight="1">
      <c r="A917" s="7"/>
      <c r="B917" s="7"/>
      <c r="C917" s="7"/>
      <c r="D917" s="7"/>
      <c r="E917" s="7"/>
      <c r="F917" s="7"/>
      <c r="G917" s="7"/>
    </row>
    <row r="918" spans="1:7" ht="22.5" customHeight="1">
      <c r="A918" s="7"/>
      <c r="B918" s="7"/>
      <c r="C918" s="7"/>
      <c r="D918" s="7"/>
      <c r="E918" s="7"/>
      <c r="F918" s="7"/>
      <c r="G918" s="7"/>
    </row>
    <row r="919" spans="1:7" ht="22.5" customHeight="1">
      <c r="A919" s="7"/>
      <c r="B919" s="7"/>
      <c r="C919" s="7"/>
      <c r="D919" s="7"/>
      <c r="E919" s="7"/>
      <c r="F919" s="7"/>
      <c r="G919" s="7"/>
    </row>
    <row r="920" spans="1:7" ht="22.5" customHeight="1">
      <c r="A920" s="7"/>
      <c r="B920" s="7"/>
      <c r="C920" s="7"/>
      <c r="D920" s="7"/>
      <c r="E920" s="7"/>
      <c r="F920" s="7"/>
      <c r="G920" s="7"/>
    </row>
    <row r="921" spans="1:7" ht="22.5" customHeight="1">
      <c r="A921" s="7"/>
      <c r="B921" s="7"/>
      <c r="C921" s="7"/>
      <c r="D921" s="7"/>
      <c r="E921" s="7"/>
      <c r="F921" s="7"/>
      <c r="G921" s="7"/>
    </row>
    <row r="922" spans="1:7" ht="22.5" customHeight="1">
      <c r="A922" s="7"/>
      <c r="B922" s="7"/>
      <c r="C922" s="7"/>
      <c r="D922" s="7"/>
      <c r="E922" s="7"/>
      <c r="F922" s="7"/>
      <c r="G922" s="7"/>
    </row>
    <row r="923" spans="1:7" ht="22.5" customHeight="1">
      <c r="A923" s="7"/>
      <c r="B923" s="7"/>
      <c r="C923" s="7"/>
      <c r="D923" s="7"/>
      <c r="E923" s="7"/>
      <c r="F923" s="7"/>
      <c r="G923" s="7"/>
    </row>
    <row r="924" spans="1:7" ht="22.5" customHeight="1">
      <c r="A924" s="7"/>
      <c r="B924" s="7"/>
      <c r="C924" s="7"/>
      <c r="D924" s="7"/>
      <c r="E924" s="7"/>
      <c r="F924" s="7"/>
      <c r="G924" s="7"/>
    </row>
    <row r="925" spans="1:7" ht="22.5" customHeight="1">
      <c r="A925" s="7"/>
      <c r="B925" s="7"/>
      <c r="C925" s="7"/>
      <c r="D925" s="7"/>
      <c r="E925" s="7"/>
      <c r="F925" s="7"/>
      <c r="G925" s="7"/>
    </row>
    <row r="926" spans="1:7" ht="22.5" customHeight="1">
      <c r="A926" s="7"/>
      <c r="B926" s="7"/>
      <c r="C926" s="7"/>
      <c r="D926" s="7"/>
      <c r="E926" s="7"/>
      <c r="F926" s="7"/>
      <c r="G926" s="7"/>
    </row>
    <row r="927" spans="1:7" ht="22.5" customHeight="1">
      <c r="A927" s="7"/>
      <c r="B927" s="7"/>
      <c r="C927" s="7"/>
      <c r="D927" s="7"/>
      <c r="E927" s="7"/>
      <c r="F927" s="7"/>
      <c r="G927" s="7"/>
    </row>
    <row r="928" spans="1:7" ht="22.5" customHeight="1">
      <c r="A928" s="7"/>
      <c r="B928" s="7"/>
      <c r="C928" s="7"/>
      <c r="D928" s="7"/>
      <c r="E928" s="7"/>
      <c r="F928" s="7"/>
      <c r="G928" s="7"/>
    </row>
    <row r="929" spans="1:7" ht="22.5" customHeight="1">
      <c r="A929" s="7"/>
      <c r="B929" s="7"/>
      <c r="C929" s="7"/>
      <c r="D929" s="7"/>
      <c r="E929" s="7"/>
      <c r="F929" s="7"/>
      <c r="G929" s="7"/>
    </row>
    <row r="930" spans="1:7" ht="22.5" customHeight="1">
      <c r="A930" s="7"/>
      <c r="B930" s="7"/>
      <c r="C930" s="7"/>
      <c r="D930" s="7"/>
      <c r="E930" s="7"/>
      <c r="F930" s="7"/>
      <c r="G930" s="7"/>
    </row>
    <row r="931" spans="1:7" ht="22.5" customHeight="1">
      <c r="A931" s="7"/>
      <c r="B931" s="7"/>
      <c r="C931" s="7"/>
      <c r="D931" s="7"/>
      <c r="E931" s="7"/>
      <c r="F931" s="7"/>
      <c r="G931" s="7"/>
    </row>
    <row r="932" spans="1:7" ht="22.5" customHeight="1">
      <c r="A932" s="7"/>
      <c r="B932" s="7"/>
      <c r="C932" s="7"/>
      <c r="D932" s="7"/>
      <c r="E932" s="7"/>
      <c r="F932" s="7"/>
      <c r="G932" s="7"/>
    </row>
    <row r="933" spans="1:7" ht="22.5" customHeight="1">
      <c r="A933" s="7"/>
      <c r="B933" s="7"/>
      <c r="C933" s="7"/>
      <c r="D933" s="7"/>
      <c r="E933" s="7"/>
      <c r="F933" s="7"/>
      <c r="G933" s="7"/>
    </row>
    <row r="934" spans="1:7" ht="22.5" customHeight="1">
      <c r="A934" s="7"/>
      <c r="B934" s="7"/>
      <c r="C934" s="7"/>
      <c r="D934" s="7"/>
      <c r="E934" s="7"/>
      <c r="F934" s="7"/>
      <c r="G934" s="7"/>
    </row>
    <row r="935" spans="1:7" ht="22.5" customHeight="1">
      <c r="A935" s="7"/>
      <c r="B935" s="7"/>
      <c r="C935" s="7"/>
      <c r="D935" s="7"/>
      <c r="E935" s="7"/>
      <c r="F935" s="7"/>
      <c r="G935" s="7"/>
    </row>
    <row r="936" spans="1:7" ht="22.5" customHeight="1">
      <c r="A936" s="7"/>
      <c r="B936" s="7"/>
      <c r="C936" s="7"/>
      <c r="D936" s="7"/>
      <c r="E936" s="7"/>
      <c r="F936" s="7"/>
      <c r="G936" s="7"/>
    </row>
    <row r="937" spans="1:7" ht="22.5" customHeight="1">
      <c r="A937" s="7"/>
      <c r="B937" s="7"/>
      <c r="C937" s="7"/>
      <c r="D937" s="7"/>
      <c r="E937" s="7"/>
      <c r="F937" s="7"/>
      <c r="G937" s="7"/>
    </row>
    <row r="938" spans="1:7" ht="22.5" customHeight="1">
      <c r="A938" s="7"/>
      <c r="B938" s="7"/>
      <c r="C938" s="7"/>
      <c r="D938" s="7"/>
      <c r="E938" s="7"/>
      <c r="F938" s="7"/>
      <c r="G938" s="7"/>
    </row>
    <row r="939" spans="1:7" ht="22.5" customHeight="1">
      <c r="A939" s="7"/>
      <c r="B939" s="7"/>
      <c r="C939" s="7"/>
      <c r="D939" s="7"/>
      <c r="E939" s="7"/>
      <c r="F939" s="7"/>
      <c r="G939" s="7"/>
    </row>
    <row r="940" spans="1:7" ht="22.5" customHeight="1">
      <c r="A940" s="7"/>
      <c r="B940" s="7"/>
      <c r="C940" s="7"/>
      <c r="D940" s="7"/>
      <c r="E940" s="7"/>
      <c r="F940" s="7"/>
      <c r="G940" s="7"/>
    </row>
    <row r="941" spans="1:7" ht="22.5" customHeight="1">
      <c r="A941" s="7"/>
      <c r="B941" s="7"/>
      <c r="C941" s="7"/>
      <c r="D941" s="7"/>
      <c r="E941" s="7"/>
      <c r="F941" s="7"/>
      <c r="G941" s="7"/>
    </row>
    <row r="942" spans="1:7" ht="22.5" customHeight="1">
      <c r="A942" s="7"/>
      <c r="B942" s="7"/>
      <c r="C942" s="7"/>
      <c r="D942" s="7"/>
      <c r="E942" s="7"/>
      <c r="F942" s="7"/>
      <c r="G942" s="7"/>
    </row>
    <row r="943" spans="1:7" ht="22.5" customHeight="1">
      <c r="A943" s="7"/>
      <c r="B943" s="7"/>
      <c r="C943" s="7"/>
      <c r="D943" s="7"/>
      <c r="E943" s="7"/>
      <c r="F943" s="7"/>
      <c r="G943" s="7"/>
    </row>
    <row r="944" spans="1:7" ht="22.5" customHeight="1">
      <c r="A944" s="7"/>
      <c r="B944" s="7"/>
      <c r="C944" s="7"/>
      <c r="D944" s="7"/>
      <c r="E944" s="7"/>
      <c r="F944" s="7"/>
      <c r="G944" s="7"/>
    </row>
    <row r="945" spans="1:7" ht="22.5" customHeight="1">
      <c r="A945" s="7"/>
      <c r="B945" s="7"/>
      <c r="C945" s="7"/>
      <c r="D945" s="7"/>
      <c r="E945" s="7"/>
      <c r="F945" s="7"/>
      <c r="G945" s="7"/>
    </row>
    <row r="946" spans="1:7" ht="22.5" customHeight="1">
      <c r="A946" s="7"/>
      <c r="B946" s="7"/>
      <c r="C946" s="7"/>
      <c r="D946" s="7"/>
      <c r="E946" s="7"/>
      <c r="F946" s="7"/>
      <c r="G946" s="7"/>
    </row>
    <row r="947" spans="1:7" ht="22.5" customHeight="1">
      <c r="A947" s="7"/>
      <c r="B947" s="7"/>
      <c r="C947" s="7"/>
      <c r="D947" s="7"/>
      <c r="E947" s="7"/>
      <c r="F947" s="7"/>
      <c r="G947" s="7"/>
    </row>
    <row r="948" spans="1:7" ht="22.5" customHeight="1">
      <c r="A948" s="7"/>
      <c r="B948" s="7"/>
      <c r="C948" s="7"/>
      <c r="D948" s="7"/>
      <c r="E948" s="7"/>
      <c r="F948" s="7"/>
      <c r="G948" s="7"/>
    </row>
    <row r="949" spans="1:7" ht="22.5" customHeight="1">
      <c r="A949" s="7"/>
      <c r="B949" s="7"/>
      <c r="C949" s="7"/>
      <c r="D949" s="7"/>
      <c r="E949" s="7"/>
      <c r="F949" s="7"/>
      <c r="G949" s="7"/>
    </row>
    <row r="950" spans="1:7" ht="22.5" customHeight="1">
      <c r="A950" s="7"/>
      <c r="B950" s="7"/>
      <c r="C950" s="7"/>
      <c r="D950" s="7"/>
      <c r="E950" s="7"/>
      <c r="F950" s="7"/>
      <c r="G950" s="7"/>
    </row>
    <row r="951" spans="1:7" ht="22.5" customHeight="1">
      <c r="A951" s="7"/>
      <c r="B951" s="7"/>
      <c r="C951" s="7"/>
      <c r="D951" s="7"/>
      <c r="E951" s="7"/>
      <c r="F951" s="7"/>
      <c r="G951" s="7"/>
    </row>
    <row r="952" spans="1:7" ht="22.5" customHeight="1">
      <c r="A952" s="7"/>
      <c r="B952" s="7"/>
      <c r="C952" s="7"/>
      <c r="D952" s="7"/>
      <c r="E952" s="7"/>
      <c r="F952" s="7"/>
      <c r="G952" s="7"/>
    </row>
    <row r="953" spans="1:7" ht="22.5" customHeight="1">
      <c r="A953" s="7"/>
      <c r="B953" s="7"/>
      <c r="C953" s="7"/>
      <c r="D953" s="7"/>
      <c r="E953" s="7"/>
      <c r="F953" s="7"/>
      <c r="G953" s="7"/>
    </row>
    <row r="954" spans="1:7" ht="22.5" customHeight="1">
      <c r="A954" s="7"/>
      <c r="B954" s="7"/>
      <c r="C954" s="7"/>
      <c r="D954" s="7"/>
      <c r="E954" s="7"/>
      <c r="F954" s="7"/>
      <c r="G954" s="7"/>
    </row>
    <row r="955" spans="1:7" ht="22.5" customHeight="1">
      <c r="A955" s="7"/>
      <c r="B955" s="7"/>
      <c r="C955" s="7"/>
      <c r="D955" s="7"/>
      <c r="E955" s="7"/>
      <c r="F955" s="7"/>
      <c r="G955" s="7"/>
    </row>
    <row r="956" spans="1:7" ht="22.5" customHeight="1">
      <c r="A956" s="7"/>
      <c r="B956" s="7"/>
      <c r="C956" s="7"/>
      <c r="D956" s="7"/>
      <c r="E956" s="7"/>
      <c r="F956" s="7"/>
      <c r="G956" s="7"/>
    </row>
    <row r="957" spans="1:7" ht="22.5" customHeight="1">
      <c r="A957" s="7"/>
      <c r="B957" s="7"/>
      <c r="C957" s="7"/>
      <c r="D957" s="7"/>
      <c r="E957" s="7"/>
      <c r="F957" s="7"/>
      <c r="G957" s="7"/>
    </row>
    <row r="958" spans="1:7" ht="22.5" customHeight="1">
      <c r="A958" s="7"/>
      <c r="B958" s="7"/>
      <c r="C958" s="7"/>
      <c r="D958" s="7"/>
      <c r="E958" s="7"/>
      <c r="F958" s="7"/>
      <c r="G958" s="7"/>
    </row>
    <row r="959" spans="1:7" ht="22.5" customHeight="1">
      <c r="A959" s="7"/>
      <c r="B959" s="7"/>
      <c r="C959" s="7"/>
      <c r="D959" s="7"/>
      <c r="E959" s="7"/>
      <c r="F959" s="7"/>
      <c r="G959" s="7"/>
    </row>
    <row r="960" spans="1:7" ht="22.5" customHeight="1">
      <c r="A960" s="7"/>
      <c r="B960" s="7"/>
      <c r="C960" s="7"/>
      <c r="D960" s="7"/>
      <c r="E960" s="7"/>
      <c r="F960" s="7"/>
      <c r="G960" s="7"/>
    </row>
    <row r="961" spans="1:7" ht="22.5" customHeight="1">
      <c r="A961" s="7"/>
      <c r="B961" s="7"/>
      <c r="C961" s="7"/>
      <c r="D961" s="7"/>
      <c r="E961" s="7"/>
      <c r="F961" s="7"/>
      <c r="G961" s="7"/>
    </row>
    <row r="962" spans="1:7" ht="22.5" customHeight="1">
      <c r="A962" s="7"/>
      <c r="B962" s="7"/>
      <c r="C962" s="7"/>
      <c r="D962" s="7"/>
      <c r="E962" s="7"/>
      <c r="F962" s="7"/>
      <c r="G962" s="7"/>
    </row>
    <row r="963" spans="1:7" ht="22.5" customHeight="1">
      <c r="A963" s="7"/>
      <c r="B963" s="7"/>
      <c r="C963" s="7"/>
      <c r="D963" s="7"/>
      <c r="E963" s="7"/>
      <c r="F963" s="7"/>
      <c r="G963" s="7"/>
    </row>
    <row r="964" spans="1:7" ht="22.5" customHeight="1">
      <c r="A964" s="7"/>
      <c r="B964" s="7"/>
      <c r="C964" s="7"/>
      <c r="D964" s="7"/>
      <c r="E964" s="7"/>
      <c r="F964" s="7"/>
      <c r="G964" s="7"/>
    </row>
    <row r="965" spans="1:7" ht="22.5" customHeight="1">
      <c r="A965" s="7"/>
      <c r="B965" s="7"/>
      <c r="C965" s="7"/>
      <c r="D965" s="7"/>
      <c r="E965" s="7"/>
      <c r="F965" s="7"/>
      <c r="G965" s="7"/>
    </row>
    <row r="966" spans="1:7" ht="22.5" customHeight="1">
      <c r="A966" s="7"/>
      <c r="B966" s="7"/>
      <c r="C966" s="7"/>
      <c r="D966" s="7"/>
      <c r="E966" s="7"/>
      <c r="F966" s="7"/>
      <c r="G966" s="7"/>
    </row>
    <row r="967" spans="1:7" ht="22.5" customHeight="1">
      <c r="A967" s="7"/>
      <c r="B967" s="7"/>
      <c r="C967" s="7"/>
      <c r="D967" s="7"/>
      <c r="E967" s="7"/>
      <c r="F967" s="7"/>
      <c r="G967" s="7"/>
    </row>
    <row r="968" spans="1:7" ht="22.5" customHeight="1">
      <c r="A968" s="7"/>
      <c r="B968" s="7"/>
      <c r="C968" s="7"/>
      <c r="D968" s="7"/>
      <c r="E968" s="7"/>
      <c r="F968" s="7"/>
      <c r="G968" s="7"/>
    </row>
    <row r="969" spans="1:7" ht="22.5" customHeight="1">
      <c r="A969" s="7"/>
      <c r="B969" s="7"/>
      <c r="C969" s="7"/>
      <c r="D969" s="7"/>
      <c r="E969" s="7"/>
      <c r="F969" s="7"/>
      <c r="G969" s="7"/>
    </row>
    <row r="970" spans="1:7" ht="22.5" customHeight="1">
      <c r="A970" s="7"/>
      <c r="B970" s="7"/>
      <c r="C970" s="7"/>
      <c r="D970" s="7"/>
      <c r="E970" s="7"/>
      <c r="F970" s="7"/>
      <c r="G970" s="7"/>
    </row>
    <row r="971" spans="1:7" ht="22.5" customHeight="1">
      <c r="A971" s="7"/>
      <c r="B971" s="7"/>
      <c r="C971" s="7"/>
      <c r="D971" s="7"/>
      <c r="E971" s="7"/>
      <c r="F971" s="7"/>
      <c r="G971" s="7"/>
    </row>
    <row r="972" spans="1:7" ht="22.5" customHeight="1">
      <c r="A972" s="7"/>
      <c r="B972" s="7"/>
      <c r="C972" s="7"/>
      <c r="D972" s="7"/>
      <c r="E972" s="7"/>
      <c r="F972" s="7"/>
      <c r="G972" s="7"/>
    </row>
    <row r="973" spans="1:7" ht="22.5" customHeight="1">
      <c r="A973" s="7"/>
      <c r="B973" s="7"/>
      <c r="C973" s="7"/>
      <c r="D973" s="7"/>
      <c r="E973" s="7"/>
      <c r="F973" s="7"/>
      <c r="G973" s="7"/>
    </row>
    <row r="974" spans="1:7" ht="22.5" customHeight="1">
      <c r="A974" s="7"/>
      <c r="B974" s="7"/>
      <c r="C974" s="7"/>
      <c r="D974" s="7"/>
      <c r="E974" s="7"/>
      <c r="F974" s="7"/>
      <c r="G974" s="7"/>
    </row>
    <row r="975" spans="1:7" ht="22.5" customHeight="1">
      <c r="A975" s="7"/>
      <c r="B975" s="7"/>
      <c r="C975" s="7"/>
      <c r="D975" s="7"/>
      <c r="E975" s="7"/>
      <c r="F975" s="7"/>
      <c r="G975" s="7"/>
    </row>
    <row r="976" spans="1:7" ht="22.5" customHeight="1">
      <c r="A976" s="7"/>
      <c r="B976" s="7"/>
      <c r="C976" s="7"/>
      <c r="D976" s="7"/>
      <c r="E976" s="7"/>
      <c r="F976" s="7"/>
      <c r="G976" s="7"/>
    </row>
    <row r="977" spans="1:7" ht="22.5" customHeight="1">
      <c r="A977" s="7"/>
      <c r="B977" s="7"/>
      <c r="C977" s="7"/>
      <c r="D977" s="7"/>
      <c r="E977" s="7"/>
      <c r="F977" s="7"/>
      <c r="G977" s="7"/>
    </row>
    <row r="978" spans="1:7" ht="22.5" customHeight="1">
      <c r="A978" s="7"/>
      <c r="B978" s="7"/>
      <c r="C978" s="7"/>
      <c r="D978" s="7"/>
      <c r="E978" s="7"/>
      <c r="F978" s="7"/>
      <c r="G978" s="7"/>
    </row>
    <row r="979" spans="1:7" ht="22.5" customHeight="1">
      <c r="A979" s="7"/>
      <c r="B979" s="7"/>
      <c r="C979" s="7"/>
      <c r="D979" s="7"/>
      <c r="E979" s="7"/>
      <c r="F979" s="7"/>
      <c r="G979" s="7"/>
    </row>
    <row r="980" spans="1:7" ht="22.5" customHeight="1">
      <c r="A980" s="7"/>
      <c r="B980" s="7"/>
      <c r="C980" s="7"/>
      <c r="D980" s="7"/>
      <c r="E980" s="7"/>
      <c r="F980" s="7"/>
      <c r="G980" s="7"/>
    </row>
    <row r="981" spans="1:7" ht="22.5" customHeight="1">
      <c r="A981" s="7"/>
      <c r="B981" s="7"/>
      <c r="C981" s="7"/>
      <c r="D981" s="7"/>
      <c r="E981" s="7"/>
      <c r="F981" s="7"/>
      <c r="G981" s="7"/>
    </row>
    <row r="982" spans="1:7" ht="22.5" customHeight="1">
      <c r="A982" s="7"/>
      <c r="B982" s="7"/>
      <c r="C982" s="7"/>
      <c r="D982" s="7"/>
      <c r="E982" s="7"/>
      <c r="F982" s="7"/>
      <c r="G982" s="7"/>
    </row>
    <row r="983" spans="1:7" ht="22.5" customHeight="1">
      <c r="A983" s="7"/>
      <c r="B983" s="7"/>
      <c r="C983" s="7"/>
      <c r="D983" s="7"/>
      <c r="E983" s="7"/>
      <c r="F983" s="7"/>
      <c r="G983" s="7"/>
    </row>
    <row r="984" spans="1:7" ht="22.5" customHeight="1">
      <c r="A984" s="7"/>
      <c r="B984" s="7"/>
      <c r="C984" s="7"/>
      <c r="D984" s="7"/>
      <c r="E984" s="7"/>
      <c r="F984" s="7"/>
      <c r="G984" s="7"/>
    </row>
    <row r="985" spans="1:7" ht="22.5" customHeight="1">
      <c r="A985" s="7"/>
      <c r="B985" s="7"/>
      <c r="C985" s="7"/>
      <c r="D985" s="7"/>
      <c r="E985" s="7"/>
      <c r="F985" s="7"/>
      <c r="G985" s="7"/>
    </row>
    <row r="986" spans="1:7" ht="22.5" customHeight="1">
      <c r="A986" s="7"/>
      <c r="B986" s="7"/>
      <c r="C986" s="7"/>
      <c r="D986" s="7"/>
      <c r="E986" s="7"/>
      <c r="F986" s="7"/>
      <c r="G986" s="7"/>
    </row>
    <row r="987" spans="1:7" ht="22.5" customHeight="1">
      <c r="A987" s="7"/>
      <c r="B987" s="7"/>
      <c r="C987" s="7"/>
      <c r="D987" s="7"/>
      <c r="E987" s="7"/>
      <c r="F987" s="7"/>
      <c r="G987" s="7"/>
    </row>
    <row r="988" spans="1:7" ht="22.5" customHeight="1">
      <c r="A988" s="7"/>
      <c r="B988" s="7"/>
      <c r="C988" s="7"/>
      <c r="D988" s="7"/>
      <c r="E988" s="7"/>
      <c r="F988" s="7"/>
      <c r="G988" s="7"/>
    </row>
    <row r="989" spans="1:7" ht="22.5" customHeight="1">
      <c r="A989" s="7"/>
      <c r="B989" s="7"/>
      <c r="C989" s="7"/>
      <c r="D989" s="7"/>
      <c r="E989" s="7"/>
      <c r="F989" s="7"/>
      <c r="G989" s="7"/>
    </row>
    <row r="990" spans="1:7" ht="22.5" customHeight="1">
      <c r="A990" s="7"/>
      <c r="B990" s="7"/>
      <c r="C990" s="7"/>
      <c r="D990" s="7"/>
      <c r="E990" s="7"/>
      <c r="F990" s="7"/>
      <c r="G990" s="7"/>
    </row>
    <row r="991" spans="1:7" ht="22.5" customHeight="1">
      <c r="A991" s="7"/>
      <c r="B991" s="7"/>
      <c r="C991" s="7"/>
      <c r="D991" s="7"/>
      <c r="E991" s="7"/>
      <c r="F991" s="7"/>
      <c r="G991" s="7"/>
    </row>
    <row r="992" spans="1:7" ht="22.5" customHeight="1">
      <c r="A992" s="7"/>
      <c r="B992" s="7"/>
      <c r="C992" s="7"/>
      <c r="D992" s="7"/>
      <c r="E992" s="7"/>
      <c r="F992" s="7"/>
      <c r="G992" s="7"/>
    </row>
    <row r="993" spans="1:7" ht="22.5" customHeight="1">
      <c r="A993" s="7"/>
      <c r="B993" s="7"/>
      <c r="C993" s="7"/>
      <c r="D993" s="7"/>
      <c r="E993" s="7"/>
      <c r="F993" s="7"/>
      <c r="G993" s="7"/>
    </row>
    <row r="994" spans="1:7" ht="22.5" customHeight="1">
      <c r="A994" s="7"/>
      <c r="B994" s="7"/>
      <c r="C994" s="7"/>
      <c r="D994" s="7"/>
      <c r="E994" s="7"/>
      <c r="F994" s="7"/>
      <c r="G994" s="7"/>
    </row>
    <row r="995" spans="1:7" ht="22.5" customHeight="1">
      <c r="A995" s="7"/>
      <c r="B995" s="7"/>
      <c r="C995" s="7"/>
      <c r="D995" s="7"/>
      <c r="E995" s="7"/>
      <c r="F995" s="7"/>
      <c r="G995" s="7"/>
    </row>
    <row r="996" spans="1:7" ht="22.5" customHeight="1">
      <c r="A996" s="7"/>
      <c r="B996" s="7"/>
      <c r="C996" s="7"/>
      <c r="D996" s="7"/>
      <c r="E996" s="7"/>
      <c r="F996" s="7"/>
      <c r="G996" s="7"/>
    </row>
    <row r="997" spans="1:7" ht="22.5" customHeight="1">
      <c r="A997" s="7"/>
      <c r="B997" s="7"/>
      <c r="C997" s="7"/>
      <c r="D997" s="7"/>
      <c r="E997" s="7"/>
      <c r="F997" s="7"/>
      <c r="G997" s="7"/>
    </row>
    <row r="998" spans="1:7" ht="22.5" customHeight="1">
      <c r="A998" s="7"/>
      <c r="B998" s="7"/>
      <c r="C998" s="7"/>
      <c r="D998" s="7"/>
      <c r="E998" s="7"/>
      <c r="F998" s="7"/>
      <c r="G998" s="7"/>
    </row>
    <row r="999" spans="1:7" ht="22.5" customHeight="1">
      <c r="A999" s="7"/>
      <c r="B999" s="7"/>
      <c r="C999" s="7"/>
      <c r="D999" s="7"/>
      <c r="E999" s="7"/>
      <c r="F999" s="7"/>
      <c r="G999" s="7"/>
    </row>
    <row r="1000" spans="1:7" ht="22.5" customHeight="1">
      <c r="A1000" s="7"/>
      <c r="B1000" s="7"/>
      <c r="C1000" s="7"/>
      <c r="D1000" s="7"/>
      <c r="E1000" s="7"/>
      <c r="F1000" s="7"/>
      <c r="G1000" s="7"/>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G3"/>
  <sheetViews>
    <sheetView workbookViewId="0"/>
  </sheetViews>
  <sheetFormatPr baseColWidth="10" defaultColWidth="12.6640625" defaultRowHeight="15.75" customHeight="1"/>
  <cols>
    <col min="1" max="1" width="18" customWidth="1"/>
    <col min="2" max="2" width="24.6640625" customWidth="1"/>
    <col min="3" max="3" width="18.6640625" customWidth="1"/>
    <col min="4" max="4" width="24.33203125" customWidth="1"/>
    <col min="5" max="5" width="19.5" customWidth="1"/>
    <col min="6" max="6" width="25.1640625" customWidth="1"/>
    <col min="7" max="7" width="21.5" customWidth="1"/>
    <col min="8" max="8" width="23.83203125" customWidth="1"/>
    <col min="9" max="9" width="25" customWidth="1"/>
    <col min="10" max="10" width="37.6640625" customWidth="1"/>
    <col min="11" max="11" width="28.33203125" customWidth="1"/>
    <col min="12" max="12" width="30.83203125" customWidth="1"/>
    <col min="13" max="13" width="20" customWidth="1"/>
    <col min="14" max="14" width="22" customWidth="1"/>
    <col min="15" max="15" width="21" customWidth="1"/>
    <col min="16" max="16" width="20.6640625" customWidth="1"/>
    <col min="17" max="17" width="23.5" customWidth="1"/>
    <col min="18" max="18" width="23" customWidth="1"/>
    <col min="19" max="19" width="23.6640625" customWidth="1"/>
    <col min="20" max="20" width="23.5" customWidth="1"/>
    <col min="21" max="21" width="23.6640625" customWidth="1"/>
    <col min="22" max="22" width="22.5" customWidth="1"/>
    <col min="23" max="23" width="22.6640625" customWidth="1"/>
    <col min="24" max="25" width="22.1640625" customWidth="1"/>
    <col min="26" max="26" width="19.5" customWidth="1"/>
    <col min="27" max="27" width="25.6640625" customWidth="1"/>
    <col min="28" max="30" width="23.33203125" customWidth="1"/>
    <col min="31" max="31" width="26.5" customWidth="1"/>
    <col min="32" max="32" width="26.33203125" customWidth="1"/>
    <col min="33" max="33" width="31.6640625" customWidth="1"/>
  </cols>
  <sheetData>
    <row r="1" spans="1:33">
      <c r="A1" s="1" t="s">
        <v>6</v>
      </c>
      <c r="B1" s="1" t="s">
        <v>15</v>
      </c>
      <c r="C1" s="1" t="s">
        <v>19</v>
      </c>
      <c r="D1" s="1" t="s">
        <v>22</v>
      </c>
      <c r="E1" s="1" t="s">
        <v>25</v>
      </c>
      <c r="F1" s="1" t="s">
        <v>28</v>
      </c>
      <c r="G1" s="1" t="s">
        <v>31</v>
      </c>
      <c r="H1" s="1" t="s">
        <v>34</v>
      </c>
      <c r="I1" s="1" t="s">
        <v>37</v>
      </c>
      <c r="J1" s="24" t="s">
        <v>40</v>
      </c>
      <c r="K1" s="1" t="s">
        <v>46</v>
      </c>
      <c r="L1" s="1" t="s">
        <v>49</v>
      </c>
      <c r="M1" s="1" t="s">
        <v>52</v>
      </c>
      <c r="N1" s="1" t="s">
        <v>55</v>
      </c>
      <c r="O1" s="1" t="s">
        <v>58</v>
      </c>
      <c r="P1" s="1" t="s">
        <v>64</v>
      </c>
      <c r="Q1" s="1" t="s">
        <v>61</v>
      </c>
      <c r="R1" s="1" t="s">
        <v>67</v>
      </c>
      <c r="S1" s="1" t="s">
        <v>70</v>
      </c>
      <c r="T1" s="1" t="s">
        <v>73</v>
      </c>
      <c r="U1" s="1" t="s">
        <v>76</v>
      </c>
      <c r="V1" s="1" t="s">
        <v>79</v>
      </c>
      <c r="W1" s="1" t="s">
        <v>81</v>
      </c>
      <c r="X1" s="1" t="s">
        <v>83</v>
      </c>
      <c r="Y1" s="1" t="s">
        <v>85</v>
      </c>
      <c r="Z1" s="1" t="s">
        <v>87</v>
      </c>
      <c r="AA1" s="1" t="s">
        <v>90</v>
      </c>
      <c r="AB1" s="1" t="s">
        <v>93</v>
      </c>
      <c r="AC1" s="25" t="s">
        <v>932</v>
      </c>
      <c r="AD1" s="25" t="s">
        <v>933</v>
      </c>
      <c r="AE1" s="25" t="s">
        <v>934</v>
      </c>
      <c r="AF1" s="25" t="s">
        <v>935</v>
      </c>
      <c r="AG1" s="25"/>
    </row>
    <row r="2" spans="1:33" ht="15.75" customHeight="1">
      <c r="A2" s="21" t="s">
        <v>936</v>
      </c>
      <c r="B2" s="21" t="s">
        <v>189</v>
      </c>
      <c r="C2" s="21">
        <v>2021</v>
      </c>
      <c r="D2" s="21" t="s">
        <v>190</v>
      </c>
      <c r="E2" s="21" t="s">
        <v>191</v>
      </c>
      <c r="F2" s="21" t="s">
        <v>154</v>
      </c>
      <c r="G2" s="21" t="s">
        <v>155</v>
      </c>
      <c r="H2" s="21" t="s">
        <v>156</v>
      </c>
      <c r="I2" s="21" t="s">
        <v>157</v>
      </c>
      <c r="J2" s="21" t="s">
        <v>158</v>
      </c>
      <c r="K2" s="21" t="s">
        <v>160</v>
      </c>
      <c r="M2" s="21" t="s">
        <v>162</v>
      </c>
      <c r="N2" s="21" t="s">
        <v>937</v>
      </c>
      <c r="O2" s="21" t="s">
        <v>163</v>
      </c>
      <c r="P2" s="21" t="s">
        <v>193</v>
      </c>
      <c r="Q2" s="21" t="s">
        <v>938</v>
      </c>
      <c r="R2" s="21" t="s">
        <v>939</v>
      </c>
      <c r="S2" s="21" t="s">
        <v>196</v>
      </c>
      <c r="T2" s="21" t="s">
        <v>196</v>
      </c>
      <c r="V2" s="21">
        <v>107</v>
      </c>
      <c r="W2" s="21">
        <v>110</v>
      </c>
      <c r="X2" s="21">
        <v>75</v>
      </c>
      <c r="Y2" s="21">
        <v>76</v>
      </c>
      <c r="Z2" s="21">
        <v>368</v>
      </c>
      <c r="AA2" s="21" t="s">
        <v>170</v>
      </c>
      <c r="AB2" s="21" t="s">
        <v>940</v>
      </c>
      <c r="AC2" s="21" t="s">
        <v>941</v>
      </c>
      <c r="AD2" s="21" t="s">
        <v>200</v>
      </c>
      <c r="AE2" s="21">
        <v>0.98573619999999995</v>
      </c>
      <c r="AF2" s="21">
        <v>4.4927929999999998E-2</v>
      </c>
      <c r="AG2" s="21"/>
    </row>
    <row r="3" spans="1:33" ht="15.75" customHeight="1">
      <c r="A3" s="21" t="s">
        <v>936</v>
      </c>
      <c r="B3" s="21" t="s">
        <v>226</v>
      </c>
      <c r="C3" s="21">
        <v>2023</v>
      </c>
      <c r="D3" s="21" t="s">
        <v>227</v>
      </c>
      <c r="E3" s="21" t="s">
        <v>228</v>
      </c>
      <c r="F3" s="21" t="s">
        <v>731</v>
      </c>
      <c r="G3" s="21" t="s">
        <v>176</v>
      </c>
      <c r="H3" s="21" t="s">
        <v>205</v>
      </c>
      <c r="I3" s="21" t="s">
        <v>942</v>
      </c>
      <c r="J3" s="21" t="s">
        <v>158</v>
      </c>
      <c r="K3" s="21" t="s">
        <v>943</v>
      </c>
      <c r="L3" s="21" t="s">
        <v>944</v>
      </c>
      <c r="M3" s="21" t="s">
        <v>162</v>
      </c>
      <c r="N3" s="21" t="s">
        <v>937</v>
      </c>
      <c r="O3" s="21" t="s">
        <v>196</v>
      </c>
      <c r="P3" s="21" t="s">
        <v>211</v>
      </c>
      <c r="Q3" s="21" t="s">
        <v>945</v>
      </c>
      <c r="R3" s="21" t="s">
        <v>946</v>
      </c>
      <c r="S3" s="21" t="s">
        <v>196</v>
      </c>
      <c r="T3" s="21" t="s">
        <v>196</v>
      </c>
      <c r="AA3" s="21" t="s">
        <v>236</v>
      </c>
      <c r="AB3" s="21" t="s">
        <v>947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45"/>
  <sheetViews>
    <sheetView workbookViewId="0">
      <pane ySplit="1" topLeftCell="A2" activePane="bottomLeft" state="frozen"/>
      <selection pane="bottomLeft" activeCell="B3" sqref="B3"/>
    </sheetView>
  </sheetViews>
  <sheetFormatPr baseColWidth="10" defaultColWidth="12.6640625" defaultRowHeight="15.75" customHeight="1"/>
  <cols>
    <col min="1" max="1" width="31.5" customWidth="1"/>
    <col min="2" max="2" width="23.5" customWidth="1"/>
    <col min="3" max="3" width="23.1640625" customWidth="1"/>
    <col min="4" max="4" width="33.6640625" customWidth="1"/>
    <col min="5" max="5" width="30.6640625" customWidth="1"/>
    <col min="6" max="6" width="12.6640625" customWidth="1"/>
    <col min="7" max="7" width="35" customWidth="1"/>
    <col min="8" max="8" width="37.6640625" customWidth="1"/>
    <col min="9" max="9" width="21" customWidth="1"/>
  </cols>
  <sheetData>
    <row r="1" spans="1:9" ht="22.5" customHeight="1">
      <c r="A1" s="22" t="s">
        <v>816</v>
      </c>
      <c r="B1" s="22" t="s">
        <v>948</v>
      </c>
      <c r="C1" s="22" t="s">
        <v>949</v>
      </c>
      <c r="D1" s="22" t="s">
        <v>950</v>
      </c>
      <c r="E1" s="22" t="s">
        <v>951</v>
      </c>
      <c r="F1" s="22" t="s">
        <v>952</v>
      </c>
      <c r="G1" s="22" t="s">
        <v>953</v>
      </c>
      <c r="H1" s="22" t="s">
        <v>954</v>
      </c>
      <c r="I1" s="22" t="s">
        <v>955</v>
      </c>
    </row>
    <row r="2" spans="1:9" ht="22.5" customHeight="1">
      <c r="A2" s="7" t="s">
        <v>152</v>
      </c>
      <c r="B2" s="7" t="s">
        <v>956</v>
      </c>
      <c r="C2" s="7" t="s">
        <v>957</v>
      </c>
      <c r="D2" s="7" t="s">
        <v>958</v>
      </c>
      <c r="E2" s="7" t="s">
        <v>959</v>
      </c>
      <c r="F2" s="7" t="s">
        <v>196</v>
      </c>
      <c r="G2" s="7" t="s">
        <v>960</v>
      </c>
      <c r="H2" s="7" t="s">
        <v>961</v>
      </c>
      <c r="I2" s="7" t="s">
        <v>962</v>
      </c>
    </row>
    <row r="3" spans="1:9" ht="22.5" customHeight="1">
      <c r="A3" s="7" t="s">
        <v>189</v>
      </c>
      <c r="B3" s="7" t="s">
        <v>963</v>
      </c>
      <c r="C3" s="7" t="s">
        <v>964</v>
      </c>
      <c r="D3" s="7" t="s">
        <v>965</v>
      </c>
      <c r="E3" s="7" t="s">
        <v>966</v>
      </c>
      <c r="F3" s="7" t="s">
        <v>196</v>
      </c>
      <c r="G3" s="7" t="s">
        <v>967</v>
      </c>
      <c r="H3" s="7" t="s">
        <v>968</v>
      </c>
      <c r="I3" s="7" t="s">
        <v>969</v>
      </c>
    </row>
    <row r="4" spans="1:9" ht="22.5" customHeight="1">
      <c r="A4" s="7" t="s">
        <v>970</v>
      </c>
      <c r="B4" s="7" t="s">
        <v>971</v>
      </c>
      <c r="C4" s="7" t="s">
        <v>971</v>
      </c>
      <c r="D4" s="7" t="s">
        <v>971</v>
      </c>
      <c r="E4" s="7" t="s">
        <v>971</v>
      </c>
      <c r="F4" s="7" t="s">
        <v>196</v>
      </c>
      <c r="G4" s="7" t="s">
        <v>971</v>
      </c>
      <c r="H4" s="7" t="s">
        <v>972</v>
      </c>
      <c r="I4" s="7" t="s">
        <v>973</v>
      </c>
    </row>
    <row r="5" spans="1:9" ht="22.5" customHeight="1">
      <c r="A5" s="7" t="s">
        <v>226</v>
      </c>
      <c r="B5" s="7" t="s">
        <v>974</v>
      </c>
      <c r="C5" s="7" t="s">
        <v>975</v>
      </c>
      <c r="D5" s="7" t="s">
        <v>976</v>
      </c>
      <c r="E5" s="7" t="s">
        <v>971</v>
      </c>
      <c r="F5" s="7" t="s">
        <v>196</v>
      </c>
      <c r="G5" s="7" t="s">
        <v>977</v>
      </c>
      <c r="H5" s="7" t="s">
        <v>978</v>
      </c>
      <c r="I5" s="7" t="s">
        <v>979</v>
      </c>
    </row>
    <row r="6" spans="1:9" ht="22.5" customHeight="1">
      <c r="A6" s="7" t="s">
        <v>791</v>
      </c>
      <c r="B6" s="7" t="s">
        <v>980</v>
      </c>
      <c r="C6" s="7" t="s">
        <v>981</v>
      </c>
      <c r="D6" s="7" t="s">
        <v>982</v>
      </c>
      <c r="E6" s="7" t="s">
        <v>983</v>
      </c>
      <c r="F6" s="7" t="s">
        <v>984</v>
      </c>
      <c r="G6" s="7" t="s">
        <v>985</v>
      </c>
      <c r="H6" s="7" t="s">
        <v>986</v>
      </c>
      <c r="I6" s="7" t="s">
        <v>987</v>
      </c>
    </row>
    <row r="7" spans="1:9" ht="22.5" customHeight="1">
      <c r="A7" s="7" t="s">
        <v>888</v>
      </c>
      <c r="B7" s="7" t="s">
        <v>988</v>
      </c>
      <c r="C7" s="7" t="s">
        <v>989</v>
      </c>
      <c r="D7" s="7" t="s">
        <v>990</v>
      </c>
      <c r="E7" s="7" t="s">
        <v>991</v>
      </c>
      <c r="F7" s="7" t="s">
        <v>984</v>
      </c>
      <c r="G7" s="7" t="s">
        <v>992</v>
      </c>
      <c r="H7" s="7" t="s">
        <v>993</v>
      </c>
      <c r="I7" s="7" t="s">
        <v>994</v>
      </c>
    </row>
    <row r="8" spans="1:9" ht="22.5" customHeight="1">
      <c r="A8" s="7" t="s">
        <v>995</v>
      </c>
      <c r="B8" s="7" t="s">
        <v>996</v>
      </c>
      <c r="C8" s="7" t="s">
        <v>997</v>
      </c>
      <c r="D8" s="7" t="s">
        <v>998</v>
      </c>
      <c r="E8" s="7" t="s">
        <v>971</v>
      </c>
      <c r="F8" s="7" t="s">
        <v>984</v>
      </c>
      <c r="G8" s="7" t="s">
        <v>999</v>
      </c>
      <c r="H8" s="7" t="s">
        <v>1000</v>
      </c>
      <c r="I8" s="7" t="s">
        <v>1001</v>
      </c>
    </row>
    <row r="9" spans="1:9" ht="22.5" customHeight="1">
      <c r="A9" s="7" t="s">
        <v>258</v>
      </c>
      <c r="B9" s="7" t="s">
        <v>1002</v>
      </c>
      <c r="C9" s="7" t="s">
        <v>1003</v>
      </c>
      <c r="D9" s="7" t="s">
        <v>1004</v>
      </c>
      <c r="E9" s="7" t="s">
        <v>1005</v>
      </c>
      <c r="F9" s="7" t="s">
        <v>1006</v>
      </c>
      <c r="G9" s="7" t="s">
        <v>1007</v>
      </c>
      <c r="H9" s="7" t="s">
        <v>1008</v>
      </c>
      <c r="I9" s="7" t="s">
        <v>1009</v>
      </c>
    </row>
    <row r="10" spans="1:9" ht="22.5" customHeight="1">
      <c r="A10" s="7" t="s">
        <v>1010</v>
      </c>
      <c r="B10" s="7" t="s">
        <v>971</v>
      </c>
      <c r="C10" s="7" t="s">
        <v>971</v>
      </c>
      <c r="D10" s="7" t="s">
        <v>971</v>
      </c>
      <c r="E10" s="7" t="s">
        <v>971</v>
      </c>
      <c r="F10" s="7" t="s">
        <v>196</v>
      </c>
      <c r="G10" s="7" t="s">
        <v>971</v>
      </c>
      <c r="H10" s="7" t="s">
        <v>1011</v>
      </c>
      <c r="I10" s="7" t="s">
        <v>971</v>
      </c>
    </row>
    <row r="11" spans="1:9" ht="22.5" customHeight="1">
      <c r="A11" s="7" t="s">
        <v>1012</v>
      </c>
      <c r="B11" s="7" t="s">
        <v>971</v>
      </c>
      <c r="C11" s="7" t="s">
        <v>971</v>
      </c>
      <c r="D11" s="7" t="s">
        <v>971</v>
      </c>
      <c r="E11" s="7" t="s">
        <v>971</v>
      </c>
      <c r="F11" s="7" t="s">
        <v>196</v>
      </c>
      <c r="G11" s="7" t="s">
        <v>971</v>
      </c>
      <c r="H11" s="7" t="s">
        <v>1013</v>
      </c>
      <c r="I11" s="7" t="s">
        <v>971</v>
      </c>
    </row>
    <row r="12" spans="1:9" ht="22.5" customHeight="1">
      <c r="A12" s="7" t="s">
        <v>830</v>
      </c>
      <c r="B12" s="7" t="s">
        <v>1014</v>
      </c>
      <c r="C12" s="7" t="s">
        <v>1015</v>
      </c>
      <c r="D12" s="7" t="s">
        <v>1016</v>
      </c>
      <c r="E12" s="7" t="s">
        <v>1017</v>
      </c>
      <c r="F12" s="7" t="s">
        <v>196</v>
      </c>
      <c r="G12" s="7" t="s">
        <v>1018</v>
      </c>
      <c r="H12" s="7" t="s">
        <v>1019</v>
      </c>
      <c r="I12" s="7" t="s">
        <v>1020</v>
      </c>
    </row>
    <row r="13" spans="1:9" ht="22.5" customHeight="1">
      <c r="A13" s="7" t="s">
        <v>291</v>
      </c>
      <c r="B13" s="7" t="s">
        <v>1021</v>
      </c>
      <c r="C13" s="7" t="s">
        <v>1022</v>
      </c>
      <c r="D13" s="7" t="s">
        <v>1023</v>
      </c>
      <c r="E13" s="7" t="s">
        <v>971</v>
      </c>
      <c r="F13" s="7" t="s">
        <v>196</v>
      </c>
      <c r="G13" s="7" t="s">
        <v>1024</v>
      </c>
      <c r="H13" s="7" t="s">
        <v>1025</v>
      </c>
      <c r="I13" s="7" t="s">
        <v>1026</v>
      </c>
    </row>
    <row r="14" spans="1:9" ht="22.5" customHeight="1">
      <c r="A14" s="7" t="s">
        <v>845</v>
      </c>
      <c r="B14" s="7" t="s">
        <v>1027</v>
      </c>
      <c r="C14" s="7" t="s">
        <v>1028</v>
      </c>
      <c r="D14" s="7" t="s">
        <v>1029</v>
      </c>
      <c r="E14" s="7" t="s">
        <v>1030</v>
      </c>
      <c r="F14" s="7" t="s">
        <v>196</v>
      </c>
      <c r="G14" s="7" t="s">
        <v>1031</v>
      </c>
      <c r="H14" s="7" t="s">
        <v>1032</v>
      </c>
      <c r="I14" s="7" t="s">
        <v>1033</v>
      </c>
    </row>
    <row r="15" spans="1:9" ht="22.5" customHeight="1">
      <c r="A15" s="7" t="s">
        <v>1034</v>
      </c>
      <c r="B15" s="7" t="s">
        <v>1035</v>
      </c>
      <c r="C15" s="7" t="s">
        <v>1036</v>
      </c>
      <c r="D15" s="7" t="s">
        <v>1037</v>
      </c>
      <c r="E15" s="7" t="s">
        <v>971</v>
      </c>
      <c r="F15" s="7" t="s">
        <v>984</v>
      </c>
      <c r="G15" s="7" t="s">
        <v>1038</v>
      </c>
      <c r="H15" s="7" t="s">
        <v>1039</v>
      </c>
      <c r="I15" s="7" t="s">
        <v>1040</v>
      </c>
    </row>
    <row r="16" spans="1:9" ht="22.5" customHeight="1">
      <c r="A16" s="7" t="s">
        <v>305</v>
      </c>
      <c r="B16" s="7" t="s">
        <v>1041</v>
      </c>
      <c r="C16" s="7" t="s">
        <v>1042</v>
      </c>
      <c r="D16" s="7" t="s">
        <v>1043</v>
      </c>
      <c r="E16" s="7" t="s">
        <v>971</v>
      </c>
      <c r="F16" s="7" t="s">
        <v>196</v>
      </c>
      <c r="G16" s="7" t="s">
        <v>1044</v>
      </c>
      <c r="H16" s="7" t="s">
        <v>1045</v>
      </c>
      <c r="I16" s="7" t="s">
        <v>1046</v>
      </c>
    </row>
    <row r="17" spans="1:9" ht="22.5" customHeight="1">
      <c r="A17" s="7" t="s">
        <v>317</v>
      </c>
      <c r="B17" s="7" t="s">
        <v>1041</v>
      </c>
      <c r="C17" s="7" t="s">
        <v>1042</v>
      </c>
      <c r="D17" s="7" t="s">
        <v>1047</v>
      </c>
      <c r="E17" s="7" t="s">
        <v>971</v>
      </c>
      <c r="F17" s="7" t="s">
        <v>196</v>
      </c>
      <c r="G17" s="7" t="s">
        <v>1044</v>
      </c>
      <c r="H17" s="7" t="s">
        <v>1048</v>
      </c>
      <c r="I17" s="7" t="s">
        <v>1046</v>
      </c>
    </row>
    <row r="18" spans="1:9" ht="22.5" customHeight="1">
      <c r="A18" s="7" t="s">
        <v>328</v>
      </c>
      <c r="B18" s="7" t="s">
        <v>1049</v>
      </c>
      <c r="C18" s="7" t="s">
        <v>1050</v>
      </c>
      <c r="D18" s="7" t="s">
        <v>1051</v>
      </c>
      <c r="E18" s="7" t="s">
        <v>971</v>
      </c>
      <c r="F18" s="7" t="s">
        <v>1052</v>
      </c>
      <c r="G18" s="7" t="s">
        <v>1053</v>
      </c>
      <c r="H18" s="7" t="s">
        <v>1054</v>
      </c>
      <c r="I18" s="7" t="s">
        <v>1055</v>
      </c>
    </row>
    <row r="19" spans="1:9" ht="22.5" customHeight="1">
      <c r="A19" s="7" t="s">
        <v>339</v>
      </c>
      <c r="B19" s="7" t="s">
        <v>1056</v>
      </c>
      <c r="C19" s="7" t="s">
        <v>1057</v>
      </c>
      <c r="D19" s="7" t="s">
        <v>1058</v>
      </c>
      <c r="E19" s="7" t="s">
        <v>1059</v>
      </c>
      <c r="F19" s="7" t="s">
        <v>1052</v>
      </c>
      <c r="G19" s="7" t="s">
        <v>1060</v>
      </c>
      <c r="H19" s="7" t="s">
        <v>1061</v>
      </c>
      <c r="I19" s="7" t="s">
        <v>1062</v>
      </c>
    </row>
    <row r="20" spans="1:9" ht="22.5" customHeight="1">
      <c r="A20" s="7" t="s">
        <v>354</v>
      </c>
      <c r="B20" s="7" t="s">
        <v>1063</v>
      </c>
      <c r="C20" s="7" t="s">
        <v>1064</v>
      </c>
      <c r="D20" s="7" t="s">
        <v>1065</v>
      </c>
      <c r="E20" s="7" t="s">
        <v>1066</v>
      </c>
      <c r="F20" s="7" t="s">
        <v>984</v>
      </c>
      <c r="G20" s="7" t="s">
        <v>1067</v>
      </c>
      <c r="H20" s="7" t="s">
        <v>1068</v>
      </c>
      <c r="I20" s="7" t="s">
        <v>1069</v>
      </c>
    </row>
    <row r="21" spans="1:9" ht="22.5" customHeight="1">
      <c r="A21" s="7" t="s">
        <v>387</v>
      </c>
      <c r="B21" s="7" t="s">
        <v>1070</v>
      </c>
      <c r="C21" s="7" t="s">
        <v>1057</v>
      </c>
      <c r="D21" s="7" t="s">
        <v>1071</v>
      </c>
      <c r="E21" s="7" t="s">
        <v>971</v>
      </c>
      <c r="F21" s="7" t="s">
        <v>984</v>
      </c>
      <c r="G21" s="7" t="s">
        <v>1072</v>
      </c>
      <c r="H21" s="7" t="s">
        <v>1073</v>
      </c>
      <c r="I21" s="7" t="s">
        <v>1074</v>
      </c>
    </row>
    <row r="22" spans="1:9" ht="22.5" customHeight="1">
      <c r="A22" s="7" t="s">
        <v>403</v>
      </c>
      <c r="B22" s="7" t="s">
        <v>1075</v>
      </c>
      <c r="C22" s="7" t="s">
        <v>1076</v>
      </c>
      <c r="D22" s="7" t="s">
        <v>1077</v>
      </c>
      <c r="E22" s="7" t="s">
        <v>971</v>
      </c>
      <c r="F22" s="7" t="s">
        <v>984</v>
      </c>
      <c r="G22" s="7" t="s">
        <v>1078</v>
      </c>
      <c r="H22" s="7" t="s">
        <v>1079</v>
      </c>
      <c r="I22" s="7" t="s">
        <v>1080</v>
      </c>
    </row>
    <row r="23" spans="1:9" ht="22.5" customHeight="1">
      <c r="A23" s="7" t="s">
        <v>884</v>
      </c>
      <c r="B23" s="7" t="s">
        <v>1081</v>
      </c>
      <c r="C23" s="7" t="s">
        <v>1082</v>
      </c>
      <c r="D23" s="7" t="s">
        <v>1083</v>
      </c>
      <c r="E23" s="7" t="s">
        <v>971</v>
      </c>
      <c r="F23" s="7" t="s">
        <v>196</v>
      </c>
      <c r="G23" s="7" t="s">
        <v>1084</v>
      </c>
      <c r="H23" s="7" t="s">
        <v>1025</v>
      </c>
      <c r="I23" s="7" t="s">
        <v>1085</v>
      </c>
    </row>
    <row r="24" spans="1:9" ht="22.5" customHeight="1">
      <c r="A24" s="7" t="s">
        <v>1086</v>
      </c>
      <c r="B24" s="7" t="s">
        <v>971</v>
      </c>
      <c r="C24" s="7" t="s">
        <v>971</v>
      </c>
      <c r="D24" s="7" t="s">
        <v>971</v>
      </c>
      <c r="E24" s="7" t="s">
        <v>971</v>
      </c>
      <c r="F24" s="7" t="s">
        <v>196</v>
      </c>
      <c r="G24" s="7" t="s">
        <v>971</v>
      </c>
      <c r="H24" s="7" t="s">
        <v>1087</v>
      </c>
      <c r="I24" s="7" t="s">
        <v>971</v>
      </c>
    </row>
    <row r="25" spans="1:9" ht="22.5" customHeight="1">
      <c r="A25" s="7" t="s">
        <v>895</v>
      </c>
      <c r="B25" s="7" t="s">
        <v>1088</v>
      </c>
      <c r="C25" s="7" t="s">
        <v>1089</v>
      </c>
      <c r="D25" s="7" t="s">
        <v>1090</v>
      </c>
      <c r="E25" s="7" t="s">
        <v>971</v>
      </c>
      <c r="F25" s="7" t="s">
        <v>196</v>
      </c>
      <c r="G25" s="7" t="s">
        <v>1091</v>
      </c>
      <c r="H25" s="7" t="s">
        <v>1092</v>
      </c>
      <c r="I25" s="7" t="s">
        <v>1093</v>
      </c>
    </row>
    <row r="26" spans="1:9" ht="22.5" customHeight="1">
      <c r="A26" s="7" t="s">
        <v>469</v>
      </c>
      <c r="B26" s="7" t="s">
        <v>1094</v>
      </c>
      <c r="C26" s="7" t="s">
        <v>1095</v>
      </c>
      <c r="D26" s="7" t="s">
        <v>1096</v>
      </c>
      <c r="E26" s="7" t="s">
        <v>1097</v>
      </c>
      <c r="F26" s="7" t="s">
        <v>196</v>
      </c>
      <c r="G26" s="7" t="s">
        <v>1098</v>
      </c>
      <c r="H26" s="7" t="s">
        <v>1099</v>
      </c>
      <c r="I26" s="7" t="s">
        <v>1100</v>
      </c>
    </row>
    <row r="27" spans="1:9" ht="22.5" customHeight="1">
      <c r="A27" s="7" t="s">
        <v>511</v>
      </c>
      <c r="B27" s="7" t="s">
        <v>1101</v>
      </c>
      <c r="C27" s="7" t="s">
        <v>1102</v>
      </c>
      <c r="D27" s="7" t="s">
        <v>1103</v>
      </c>
      <c r="E27" s="7" t="s">
        <v>971</v>
      </c>
      <c r="F27" s="7" t="s">
        <v>196</v>
      </c>
      <c r="G27" s="7" t="s">
        <v>1104</v>
      </c>
      <c r="H27" s="7" t="s">
        <v>1025</v>
      </c>
      <c r="I27" s="7" t="s">
        <v>1046</v>
      </c>
    </row>
    <row r="28" spans="1:9" ht="22.5" customHeight="1">
      <c r="A28" s="7" t="s">
        <v>603</v>
      </c>
      <c r="B28" s="7" t="s">
        <v>1105</v>
      </c>
      <c r="C28" s="7" t="s">
        <v>1106</v>
      </c>
      <c r="D28" s="7" t="s">
        <v>1107</v>
      </c>
      <c r="E28" s="7" t="s">
        <v>1108</v>
      </c>
      <c r="F28" s="7" t="s">
        <v>196</v>
      </c>
      <c r="G28" s="7" t="s">
        <v>1109</v>
      </c>
      <c r="H28" s="7" t="s">
        <v>1110</v>
      </c>
      <c r="I28" s="7" t="s">
        <v>1111</v>
      </c>
    </row>
    <row r="29" spans="1:9" ht="22.5" customHeight="1">
      <c r="A29" s="7" t="s">
        <v>621</v>
      </c>
      <c r="B29" s="7" t="s">
        <v>1112</v>
      </c>
      <c r="C29" s="7" t="s">
        <v>1106</v>
      </c>
      <c r="D29" s="7" t="s">
        <v>1113</v>
      </c>
      <c r="E29" s="7" t="s">
        <v>1114</v>
      </c>
      <c r="F29" s="7" t="s">
        <v>196</v>
      </c>
      <c r="G29" s="7" t="s">
        <v>1115</v>
      </c>
      <c r="H29" s="7" t="s">
        <v>1025</v>
      </c>
      <c r="I29" s="7" t="s">
        <v>1116</v>
      </c>
    </row>
    <row r="30" spans="1:9" ht="22.5" customHeight="1">
      <c r="A30" s="7" t="s">
        <v>582</v>
      </c>
      <c r="B30" s="7" t="s">
        <v>1117</v>
      </c>
      <c r="C30" s="7" t="s">
        <v>1106</v>
      </c>
      <c r="D30" s="7" t="s">
        <v>1118</v>
      </c>
      <c r="E30" s="7" t="s">
        <v>1119</v>
      </c>
      <c r="F30" s="7" t="s">
        <v>196</v>
      </c>
      <c r="G30" s="7" t="s">
        <v>1120</v>
      </c>
      <c r="H30" s="7" t="s">
        <v>1121</v>
      </c>
      <c r="I30" s="7" t="s">
        <v>1122</v>
      </c>
    </row>
    <row r="31" spans="1:9" ht="22.5" customHeight="1">
      <c r="A31" s="7" t="s">
        <v>539</v>
      </c>
      <c r="B31" s="7" t="s">
        <v>1123</v>
      </c>
      <c r="C31" s="7" t="s">
        <v>1106</v>
      </c>
      <c r="D31" s="7" t="s">
        <v>1124</v>
      </c>
      <c r="E31" s="7" t="s">
        <v>1125</v>
      </c>
      <c r="F31" s="7" t="s">
        <v>196</v>
      </c>
      <c r="G31" s="7" t="s">
        <v>1126</v>
      </c>
      <c r="H31" s="7" t="s">
        <v>1127</v>
      </c>
      <c r="I31" s="7" t="s">
        <v>1111</v>
      </c>
    </row>
    <row r="32" spans="1:9" ht="22.5" customHeight="1">
      <c r="A32" s="7" t="s">
        <v>566</v>
      </c>
      <c r="B32" s="7" t="s">
        <v>1128</v>
      </c>
      <c r="C32" s="7" t="s">
        <v>1129</v>
      </c>
      <c r="D32" s="7" t="s">
        <v>1130</v>
      </c>
      <c r="E32" s="7" t="s">
        <v>971</v>
      </c>
      <c r="F32" s="7" t="s">
        <v>196</v>
      </c>
      <c r="G32" s="7" t="s">
        <v>1131</v>
      </c>
      <c r="H32" s="7" t="s">
        <v>1132</v>
      </c>
      <c r="I32" s="7" t="s">
        <v>1046</v>
      </c>
    </row>
    <row r="33" spans="1:9" ht="22.5" customHeight="1">
      <c r="A33" s="7" t="s">
        <v>592</v>
      </c>
      <c r="B33" s="7" t="s">
        <v>1133</v>
      </c>
      <c r="C33" s="7" t="s">
        <v>1134</v>
      </c>
      <c r="D33" s="7" t="s">
        <v>1135</v>
      </c>
      <c r="E33" s="7" t="s">
        <v>1136</v>
      </c>
      <c r="F33" s="7" t="s">
        <v>196</v>
      </c>
      <c r="G33" s="7" t="s">
        <v>1137</v>
      </c>
      <c r="H33" s="7" t="s">
        <v>1025</v>
      </c>
      <c r="I33" s="7" t="s">
        <v>1080</v>
      </c>
    </row>
    <row r="34" spans="1:9" ht="22.5" customHeight="1">
      <c r="A34" s="7" t="s">
        <v>632</v>
      </c>
      <c r="B34" s="7" t="s">
        <v>1138</v>
      </c>
      <c r="C34" s="7" t="s">
        <v>1106</v>
      </c>
      <c r="D34" s="7" t="s">
        <v>1139</v>
      </c>
      <c r="E34" s="7" t="s">
        <v>1140</v>
      </c>
      <c r="F34" s="7" t="s">
        <v>196</v>
      </c>
      <c r="G34" s="7" t="s">
        <v>1141</v>
      </c>
      <c r="H34" s="7" t="s">
        <v>1142</v>
      </c>
      <c r="I34" s="7" t="s">
        <v>1111</v>
      </c>
    </row>
    <row r="35" spans="1:9" ht="22.5" customHeight="1">
      <c r="A35" s="7" t="s">
        <v>660</v>
      </c>
      <c r="B35" s="7" t="s">
        <v>1143</v>
      </c>
      <c r="C35" s="7" t="s">
        <v>1144</v>
      </c>
      <c r="D35" s="7" t="s">
        <v>1145</v>
      </c>
      <c r="E35" s="7" t="s">
        <v>971</v>
      </c>
      <c r="F35" s="7" t="s">
        <v>984</v>
      </c>
      <c r="G35" s="7" t="s">
        <v>1146</v>
      </c>
      <c r="H35" s="7" t="s">
        <v>1147</v>
      </c>
      <c r="I35" s="7" t="s">
        <v>1148</v>
      </c>
    </row>
    <row r="36" spans="1:9" ht="22.5" customHeight="1">
      <c r="A36" s="7" t="s">
        <v>694</v>
      </c>
      <c r="B36" s="7" t="s">
        <v>971</v>
      </c>
      <c r="C36" s="7" t="s">
        <v>971</v>
      </c>
      <c r="D36" s="7" t="s">
        <v>971</v>
      </c>
      <c r="E36" s="7" t="s">
        <v>971</v>
      </c>
      <c r="F36" s="7" t="s">
        <v>196</v>
      </c>
      <c r="G36" s="7" t="s">
        <v>971</v>
      </c>
      <c r="H36" s="7" t="s">
        <v>1149</v>
      </c>
      <c r="I36" s="7" t="s">
        <v>971</v>
      </c>
    </row>
    <row r="37" spans="1:9" ht="22.5" customHeight="1">
      <c r="A37" s="7" t="s">
        <v>713</v>
      </c>
      <c r="B37" s="7" t="s">
        <v>1150</v>
      </c>
      <c r="C37" s="7" t="s">
        <v>1151</v>
      </c>
      <c r="D37" s="7" t="s">
        <v>1152</v>
      </c>
      <c r="E37" s="7" t="s">
        <v>971</v>
      </c>
      <c r="F37" s="7" t="s">
        <v>196</v>
      </c>
      <c r="G37" s="7" t="s">
        <v>1153</v>
      </c>
      <c r="H37" s="7" t="s">
        <v>1045</v>
      </c>
      <c r="I37" s="7" t="s">
        <v>1154</v>
      </c>
    </row>
    <row r="38" spans="1:9" ht="22.5" customHeight="1">
      <c r="A38" s="7" t="s">
        <v>717</v>
      </c>
      <c r="B38" s="7" t="s">
        <v>1155</v>
      </c>
      <c r="C38" s="7" t="s">
        <v>1089</v>
      </c>
      <c r="D38" s="7" t="s">
        <v>1156</v>
      </c>
      <c r="E38" s="7" t="s">
        <v>1157</v>
      </c>
      <c r="F38" s="7" t="s">
        <v>984</v>
      </c>
      <c r="G38" s="7" t="s">
        <v>1158</v>
      </c>
      <c r="H38" s="7" t="s">
        <v>1159</v>
      </c>
      <c r="I38" s="7" t="s">
        <v>1080</v>
      </c>
    </row>
    <row r="39" spans="1:9" ht="22.5" customHeight="1">
      <c r="A39" s="7" t="s">
        <v>1160</v>
      </c>
      <c r="B39" s="7" t="s">
        <v>1161</v>
      </c>
      <c r="C39" s="7" t="s">
        <v>1162</v>
      </c>
      <c r="D39" s="7" t="s">
        <v>1163</v>
      </c>
      <c r="E39" s="7" t="s">
        <v>971</v>
      </c>
      <c r="F39" s="7" t="s">
        <v>196</v>
      </c>
      <c r="G39" s="7" t="s">
        <v>1164</v>
      </c>
      <c r="H39" s="7" t="s">
        <v>1165</v>
      </c>
      <c r="I39" s="7" t="s">
        <v>1166</v>
      </c>
    </row>
    <row r="40" spans="1:9" ht="22.5" customHeight="1">
      <c r="A40" s="7" t="s">
        <v>728</v>
      </c>
      <c r="B40" s="7" t="s">
        <v>1167</v>
      </c>
      <c r="C40" s="7" t="s">
        <v>1168</v>
      </c>
      <c r="D40" s="7" t="s">
        <v>1169</v>
      </c>
      <c r="E40" s="7" t="s">
        <v>971</v>
      </c>
      <c r="F40" s="7" t="s">
        <v>196</v>
      </c>
      <c r="G40" s="7" t="s">
        <v>1170</v>
      </c>
      <c r="H40" s="7" t="s">
        <v>1171</v>
      </c>
      <c r="I40" s="7" t="s">
        <v>1111</v>
      </c>
    </row>
    <row r="41" spans="1:9" ht="22.5" customHeight="1">
      <c r="A41" s="7" t="s">
        <v>900</v>
      </c>
      <c r="B41" s="7" t="s">
        <v>1172</v>
      </c>
      <c r="C41" s="7" t="s">
        <v>1173</v>
      </c>
      <c r="D41" s="7" t="s">
        <v>1174</v>
      </c>
      <c r="E41" s="7" t="s">
        <v>971</v>
      </c>
      <c r="F41" s="7" t="s">
        <v>196</v>
      </c>
      <c r="G41" s="7" t="s">
        <v>1175</v>
      </c>
      <c r="H41" s="7" t="s">
        <v>1176</v>
      </c>
      <c r="I41" s="7" t="s">
        <v>1177</v>
      </c>
    </row>
    <row r="42" spans="1:9" ht="22.5" customHeight="1">
      <c r="A42" s="7" t="s">
        <v>1178</v>
      </c>
      <c r="B42" s="7" t="s">
        <v>1179</v>
      </c>
      <c r="C42" s="7" t="s">
        <v>1180</v>
      </c>
      <c r="D42" s="7" t="s">
        <v>1181</v>
      </c>
      <c r="E42" s="7" t="s">
        <v>971</v>
      </c>
      <c r="F42" s="7" t="s">
        <v>196</v>
      </c>
      <c r="G42" s="7" t="s">
        <v>1182</v>
      </c>
      <c r="H42" s="7" t="s">
        <v>1025</v>
      </c>
      <c r="I42" s="7" t="s">
        <v>1166</v>
      </c>
    </row>
    <row r="43" spans="1:9" ht="22.5" customHeight="1">
      <c r="A43" s="7" t="s">
        <v>767</v>
      </c>
      <c r="B43" s="7" t="s">
        <v>1183</v>
      </c>
      <c r="C43" s="7" t="s">
        <v>1184</v>
      </c>
      <c r="D43" s="7" t="s">
        <v>1185</v>
      </c>
      <c r="E43" s="7" t="s">
        <v>971</v>
      </c>
      <c r="F43" s="7" t="s">
        <v>1052</v>
      </c>
      <c r="G43" s="7" t="s">
        <v>1186</v>
      </c>
      <c r="H43" s="7" t="s">
        <v>1187</v>
      </c>
      <c r="I43" s="7" t="s">
        <v>1111</v>
      </c>
    </row>
    <row r="44" spans="1:9" ht="22.5" customHeight="1">
      <c r="A44" s="7" t="s">
        <v>787</v>
      </c>
      <c r="B44" s="7" t="s">
        <v>1188</v>
      </c>
      <c r="C44" s="7" t="s">
        <v>1189</v>
      </c>
      <c r="D44" s="7" t="s">
        <v>1190</v>
      </c>
      <c r="E44" s="7" t="s">
        <v>971</v>
      </c>
      <c r="F44" s="7" t="s">
        <v>984</v>
      </c>
      <c r="G44" s="7" t="s">
        <v>1191</v>
      </c>
      <c r="H44" s="7" t="s">
        <v>1192</v>
      </c>
      <c r="I44" s="7" t="s">
        <v>1080</v>
      </c>
    </row>
    <row r="45" spans="1:9" ht="22.5" customHeight="1">
      <c r="A45" s="7" t="s">
        <v>795</v>
      </c>
      <c r="B45" s="7" t="s">
        <v>1193</v>
      </c>
      <c r="C45" s="7" t="s">
        <v>981</v>
      </c>
      <c r="D45" s="7" t="s">
        <v>1194</v>
      </c>
      <c r="E45" s="7" t="s">
        <v>971</v>
      </c>
      <c r="F45" s="7" t="s">
        <v>196</v>
      </c>
      <c r="G45" s="7" t="s">
        <v>1195</v>
      </c>
      <c r="H45" s="7" t="s">
        <v>1025</v>
      </c>
      <c r="I45" s="7" t="s">
        <v>1040</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I47"/>
  <sheetViews>
    <sheetView workbookViewId="0">
      <pane ySplit="1" topLeftCell="A2" activePane="bottomLeft" state="frozen"/>
      <selection pane="bottomLeft" activeCell="B3" sqref="B3"/>
    </sheetView>
  </sheetViews>
  <sheetFormatPr baseColWidth="10" defaultColWidth="12.6640625" defaultRowHeight="15.75" customHeight="1"/>
  <cols>
    <col min="1" max="1" width="31.5" customWidth="1"/>
    <col min="2" max="2" width="23.5" customWidth="1"/>
    <col min="3" max="3" width="24.1640625" customWidth="1"/>
    <col min="4" max="4" width="33.6640625" customWidth="1"/>
    <col min="5" max="5" width="30.6640625" customWidth="1"/>
    <col min="6" max="6" width="12.6640625" customWidth="1"/>
    <col min="7" max="7" width="35" customWidth="1"/>
    <col min="8" max="8" width="37.6640625" customWidth="1"/>
    <col min="9" max="9" width="21" customWidth="1"/>
  </cols>
  <sheetData>
    <row r="1" spans="1:9" ht="22.5" customHeight="1">
      <c r="A1" s="22" t="s">
        <v>816</v>
      </c>
      <c r="B1" s="22" t="s">
        <v>948</v>
      </c>
      <c r="C1" s="22" t="s">
        <v>949</v>
      </c>
      <c r="D1" s="22" t="s">
        <v>950</v>
      </c>
      <c r="E1" s="22" t="s">
        <v>951</v>
      </c>
      <c r="F1" s="22" t="s">
        <v>952</v>
      </c>
      <c r="G1" s="22" t="s">
        <v>953</v>
      </c>
      <c r="H1" s="22" t="s">
        <v>954</v>
      </c>
      <c r="I1" s="22" t="s">
        <v>955</v>
      </c>
    </row>
    <row r="2" spans="1:9" ht="22.5" customHeight="1">
      <c r="A2" s="7" t="s">
        <v>152</v>
      </c>
      <c r="B2" s="7" t="s">
        <v>956</v>
      </c>
      <c r="C2" s="7" t="s">
        <v>1196</v>
      </c>
      <c r="D2" s="7" t="s">
        <v>958</v>
      </c>
      <c r="E2" s="7" t="s">
        <v>959</v>
      </c>
      <c r="F2" s="7" t="s">
        <v>196</v>
      </c>
      <c r="G2" s="7" t="s">
        <v>960</v>
      </c>
      <c r="H2" s="7" t="s">
        <v>961</v>
      </c>
      <c r="I2" s="7" t="s">
        <v>962</v>
      </c>
    </row>
    <row r="3" spans="1:9" ht="22.5" customHeight="1">
      <c r="A3" s="7" t="s">
        <v>189</v>
      </c>
      <c r="B3" s="7" t="s">
        <v>963</v>
      </c>
      <c r="C3" s="7" t="s">
        <v>964</v>
      </c>
      <c r="D3" s="7" t="s">
        <v>965</v>
      </c>
      <c r="E3" s="7" t="s">
        <v>966</v>
      </c>
      <c r="F3" s="7" t="s">
        <v>196</v>
      </c>
      <c r="G3" s="7" t="s">
        <v>967</v>
      </c>
      <c r="H3" s="7" t="s">
        <v>968</v>
      </c>
      <c r="I3" s="7" t="s">
        <v>969</v>
      </c>
    </row>
    <row r="4" spans="1:9" ht="22.5" customHeight="1">
      <c r="A4" s="7" t="s">
        <v>970</v>
      </c>
      <c r="B4" s="7" t="s">
        <v>971</v>
      </c>
      <c r="C4" s="7" t="s">
        <v>971</v>
      </c>
      <c r="D4" s="7" t="s">
        <v>971</v>
      </c>
      <c r="E4" s="7" t="s">
        <v>971</v>
      </c>
      <c r="F4" s="7" t="s">
        <v>196</v>
      </c>
      <c r="G4" s="7" t="s">
        <v>971</v>
      </c>
      <c r="H4" s="7" t="s">
        <v>972</v>
      </c>
      <c r="I4" s="7" t="s">
        <v>973</v>
      </c>
    </row>
    <row r="5" spans="1:9" ht="22.5" customHeight="1">
      <c r="A5" s="7" t="s">
        <v>226</v>
      </c>
      <c r="B5" s="7" t="s">
        <v>974</v>
      </c>
      <c r="C5" s="7" t="s">
        <v>975</v>
      </c>
      <c r="D5" s="7" t="s">
        <v>976</v>
      </c>
      <c r="E5" s="7" t="s">
        <v>971</v>
      </c>
      <c r="F5" s="7" t="s">
        <v>196</v>
      </c>
      <c r="G5" s="7" t="s">
        <v>977</v>
      </c>
      <c r="H5" s="7" t="s">
        <v>978</v>
      </c>
      <c r="I5" s="7" t="s">
        <v>979</v>
      </c>
    </row>
    <row r="6" spans="1:9" ht="22.5" customHeight="1">
      <c r="A6" s="7" t="s">
        <v>791</v>
      </c>
      <c r="B6" s="7" t="s">
        <v>980</v>
      </c>
      <c r="C6" s="7" t="s">
        <v>981</v>
      </c>
      <c r="D6" s="7" t="s">
        <v>982</v>
      </c>
      <c r="E6" s="7" t="s">
        <v>983</v>
      </c>
      <c r="F6" s="7" t="s">
        <v>984</v>
      </c>
      <c r="G6" s="7" t="s">
        <v>985</v>
      </c>
      <c r="H6" s="7" t="s">
        <v>986</v>
      </c>
      <c r="I6" s="7" t="s">
        <v>987</v>
      </c>
    </row>
    <row r="7" spans="1:9" ht="22.5" customHeight="1">
      <c r="A7" s="7" t="s">
        <v>888</v>
      </c>
      <c r="B7" s="7" t="s">
        <v>988</v>
      </c>
      <c r="C7" s="7" t="s">
        <v>989</v>
      </c>
      <c r="D7" s="7" t="s">
        <v>990</v>
      </c>
      <c r="E7" s="7" t="s">
        <v>991</v>
      </c>
      <c r="F7" s="7" t="s">
        <v>984</v>
      </c>
      <c r="G7" s="7" t="s">
        <v>992</v>
      </c>
      <c r="H7" s="7" t="s">
        <v>993</v>
      </c>
      <c r="I7" s="7" t="s">
        <v>994</v>
      </c>
    </row>
    <row r="8" spans="1:9" ht="22.5" customHeight="1">
      <c r="A8" s="7" t="s">
        <v>995</v>
      </c>
      <c r="B8" s="7" t="s">
        <v>996</v>
      </c>
      <c r="C8" s="7" t="s">
        <v>997</v>
      </c>
      <c r="D8" s="7" t="s">
        <v>998</v>
      </c>
      <c r="E8" s="7" t="s">
        <v>971</v>
      </c>
      <c r="F8" s="7" t="s">
        <v>984</v>
      </c>
      <c r="G8" s="7" t="s">
        <v>999</v>
      </c>
      <c r="H8" s="7" t="s">
        <v>1000</v>
      </c>
      <c r="I8" s="7" t="s">
        <v>1001</v>
      </c>
    </row>
    <row r="9" spans="1:9" ht="22.5" customHeight="1">
      <c r="A9" s="7" t="s">
        <v>258</v>
      </c>
      <c r="B9" s="7" t="s">
        <v>1002</v>
      </c>
      <c r="C9" s="7" t="s">
        <v>1003</v>
      </c>
      <c r="D9" s="7" t="s">
        <v>1004</v>
      </c>
      <c r="E9" s="7" t="s">
        <v>1005</v>
      </c>
      <c r="F9" s="7" t="s">
        <v>1006</v>
      </c>
      <c r="G9" s="7" t="s">
        <v>1007</v>
      </c>
      <c r="H9" s="7" t="s">
        <v>1008</v>
      </c>
      <c r="I9" s="7" t="s">
        <v>1009</v>
      </c>
    </row>
    <row r="10" spans="1:9" ht="22.5" customHeight="1">
      <c r="A10" s="7" t="s">
        <v>1010</v>
      </c>
      <c r="B10" s="7" t="s">
        <v>971</v>
      </c>
      <c r="C10" s="7" t="s">
        <v>971</v>
      </c>
      <c r="D10" s="7" t="s">
        <v>971</v>
      </c>
      <c r="E10" s="7" t="s">
        <v>971</v>
      </c>
      <c r="F10" s="7" t="s">
        <v>196</v>
      </c>
      <c r="G10" s="7" t="s">
        <v>971</v>
      </c>
      <c r="H10" s="7" t="s">
        <v>1011</v>
      </c>
      <c r="I10" s="7" t="s">
        <v>971</v>
      </c>
    </row>
    <row r="11" spans="1:9" ht="22.5" customHeight="1">
      <c r="A11" s="7" t="s">
        <v>1012</v>
      </c>
      <c r="B11" s="7" t="s">
        <v>971</v>
      </c>
      <c r="C11" s="7" t="s">
        <v>971</v>
      </c>
      <c r="D11" s="7" t="s">
        <v>971</v>
      </c>
      <c r="E11" s="7" t="s">
        <v>971</v>
      </c>
      <c r="F11" s="7" t="s">
        <v>196</v>
      </c>
      <c r="G11" s="7" t="s">
        <v>971</v>
      </c>
      <c r="H11" s="7" t="s">
        <v>1013</v>
      </c>
      <c r="I11" s="7" t="s">
        <v>971</v>
      </c>
    </row>
    <row r="12" spans="1:9" ht="22.5" customHeight="1">
      <c r="A12" s="7" t="s">
        <v>830</v>
      </c>
      <c r="B12" s="7" t="s">
        <v>1014</v>
      </c>
      <c r="C12" s="7" t="s">
        <v>1015</v>
      </c>
      <c r="D12" s="7" t="s">
        <v>1016</v>
      </c>
      <c r="E12" s="7" t="s">
        <v>1017</v>
      </c>
      <c r="F12" s="7" t="s">
        <v>196</v>
      </c>
      <c r="G12" s="7" t="s">
        <v>1018</v>
      </c>
      <c r="H12" s="7" t="s">
        <v>1019</v>
      </c>
      <c r="I12" s="7" t="s">
        <v>1020</v>
      </c>
    </row>
    <row r="13" spans="1:9" ht="22.5" customHeight="1">
      <c r="A13" s="7" t="s">
        <v>291</v>
      </c>
      <c r="B13" s="7" t="s">
        <v>1021</v>
      </c>
      <c r="C13" s="7" t="s">
        <v>1022</v>
      </c>
      <c r="D13" s="7" t="s">
        <v>1023</v>
      </c>
      <c r="E13" s="7" t="s">
        <v>971</v>
      </c>
      <c r="F13" s="7" t="s">
        <v>196</v>
      </c>
      <c r="G13" s="7" t="s">
        <v>1024</v>
      </c>
      <c r="H13" s="7" t="s">
        <v>1025</v>
      </c>
      <c r="I13" s="7" t="s">
        <v>1026</v>
      </c>
    </row>
    <row r="14" spans="1:9" ht="22.5" customHeight="1">
      <c r="A14" s="7" t="s">
        <v>845</v>
      </c>
      <c r="B14" s="7" t="s">
        <v>1027</v>
      </c>
      <c r="C14" s="7" t="s">
        <v>1028</v>
      </c>
      <c r="D14" s="7" t="s">
        <v>1029</v>
      </c>
      <c r="E14" s="7" t="s">
        <v>1030</v>
      </c>
      <c r="F14" s="7" t="s">
        <v>196</v>
      </c>
      <c r="G14" s="7" t="s">
        <v>1031</v>
      </c>
      <c r="H14" s="7" t="s">
        <v>1032</v>
      </c>
      <c r="I14" s="7" t="s">
        <v>1033</v>
      </c>
    </row>
    <row r="15" spans="1:9" ht="22.5" customHeight="1">
      <c r="A15" s="7" t="s">
        <v>1034</v>
      </c>
      <c r="B15" s="7" t="s">
        <v>1035</v>
      </c>
      <c r="C15" s="7" t="s">
        <v>1036</v>
      </c>
      <c r="D15" s="7" t="s">
        <v>1037</v>
      </c>
      <c r="E15" s="7" t="s">
        <v>971</v>
      </c>
      <c r="F15" s="7" t="s">
        <v>984</v>
      </c>
      <c r="G15" s="7" t="s">
        <v>1038</v>
      </c>
      <c r="H15" s="7" t="s">
        <v>1039</v>
      </c>
      <c r="I15" s="7" t="s">
        <v>1040</v>
      </c>
    </row>
    <row r="16" spans="1:9" ht="22.5" customHeight="1">
      <c r="A16" s="7" t="s">
        <v>305</v>
      </c>
      <c r="B16" s="7" t="s">
        <v>1041</v>
      </c>
      <c r="C16" s="7" t="s">
        <v>1042</v>
      </c>
      <c r="D16" s="7" t="s">
        <v>1043</v>
      </c>
      <c r="E16" s="7" t="s">
        <v>971</v>
      </c>
      <c r="F16" s="7" t="s">
        <v>196</v>
      </c>
      <c r="G16" s="7" t="s">
        <v>1044</v>
      </c>
      <c r="H16" s="7" t="s">
        <v>1045</v>
      </c>
      <c r="I16" s="7" t="s">
        <v>1046</v>
      </c>
    </row>
    <row r="17" spans="1:9" ht="22.5" customHeight="1">
      <c r="A17" s="7" t="s">
        <v>317</v>
      </c>
      <c r="B17" s="7" t="s">
        <v>1041</v>
      </c>
      <c r="C17" s="7" t="s">
        <v>1042</v>
      </c>
      <c r="D17" s="7" t="s">
        <v>1047</v>
      </c>
      <c r="E17" s="7" t="s">
        <v>971</v>
      </c>
      <c r="F17" s="7" t="s">
        <v>196</v>
      </c>
      <c r="G17" s="7" t="s">
        <v>1044</v>
      </c>
      <c r="H17" s="7" t="s">
        <v>1048</v>
      </c>
      <c r="I17" s="7" t="s">
        <v>1046</v>
      </c>
    </row>
    <row r="18" spans="1:9" ht="22.5" customHeight="1">
      <c r="A18" s="7" t="s">
        <v>328</v>
      </c>
      <c r="B18" s="7" t="s">
        <v>1049</v>
      </c>
      <c r="C18" s="7" t="s">
        <v>1050</v>
      </c>
      <c r="D18" s="7" t="s">
        <v>1051</v>
      </c>
      <c r="E18" s="7" t="s">
        <v>971</v>
      </c>
      <c r="F18" s="7" t="s">
        <v>1052</v>
      </c>
      <c r="G18" s="7" t="s">
        <v>1053</v>
      </c>
      <c r="H18" s="7" t="s">
        <v>1054</v>
      </c>
      <c r="I18" s="7" t="s">
        <v>1055</v>
      </c>
    </row>
    <row r="19" spans="1:9" ht="22.5" customHeight="1">
      <c r="A19" s="7" t="s">
        <v>339</v>
      </c>
      <c r="B19" s="7" t="s">
        <v>1056</v>
      </c>
      <c r="C19" s="7" t="s">
        <v>1057</v>
      </c>
      <c r="D19" s="7" t="s">
        <v>1058</v>
      </c>
      <c r="E19" s="7" t="s">
        <v>1059</v>
      </c>
      <c r="F19" s="7" t="s">
        <v>1052</v>
      </c>
      <c r="G19" s="7" t="s">
        <v>1060</v>
      </c>
      <c r="H19" s="7" t="s">
        <v>1061</v>
      </c>
      <c r="I19" s="7" t="s">
        <v>1062</v>
      </c>
    </row>
    <row r="20" spans="1:9" ht="22.5" customHeight="1">
      <c r="A20" s="7" t="s">
        <v>354</v>
      </c>
      <c r="B20" s="7" t="s">
        <v>1063</v>
      </c>
      <c r="C20" s="7" t="s">
        <v>1064</v>
      </c>
      <c r="D20" s="7" t="s">
        <v>1065</v>
      </c>
      <c r="E20" s="7" t="s">
        <v>1066</v>
      </c>
      <c r="F20" s="7" t="s">
        <v>984</v>
      </c>
      <c r="G20" s="7" t="s">
        <v>1067</v>
      </c>
      <c r="H20" s="7" t="s">
        <v>1068</v>
      </c>
      <c r="I20" s="7" t="s">
        <v>1069</v>
      </c>
    </row>
    <row r="21" spans="1:9" ht="22.5" customHeight="1">
      <c r="A21" s="7" t="s">
        <v>387</v>
      </c>
      <c r="B21" s="7" t="s">
        <v>1070</v>
      </c>
      <c r="C21" s="7" t="s">
        <v>1057</v>
      </c>
      <c r="D21" s="7" t="s">
        <v>1071</v>
      </c>
      <c r="E21" s="7" t="s">
        <v>971</v>
      </c>
      <c r="F21" s="7" t="s">
        <v>984</v>
      </c>
      <c r="G21" s="7" t="s">
        <v>1072</v>
      </c>
      <c r="H21" s="7" t="s">
        <v>1073</v>
      </c>
      <c r="I21" s="7" t="s">
        <v>1074</v>
      </c>
    </row>
    <row r="22" spans="1:9" ht="22.5" customHeight="1">
      <c r="A22" s="7" t="s">
        <v>403</v>
      </c>
      <c r="B22" s="7" t="s">
        <v>1075</v>
      </c>
      <c r="C22" s="7" t="s">
        <v>1076</v>
      </c>
      <c r="D22" s="7" t="s">
        <v>1077</v>
      </c>
      <c r="E22" s="7" t="s">
        <v>971</v>
      </c>
      <c r="F22" s="7" t="s">
        <v>984</v>
      </c>
      <c r="G22" s="7" t="s">
        <v>1078</v>
      </c>
      <c r="H22" s="7" t="s">
        <v>1079</v>
      </c>
      <c r="I22" s="7" t="s">
        <v>1080</v>
      </c>
    </row>
    <row r="23" spans="1:9" ht="22.5" customHeight="1">
      <c r="A23" s="7" t="s">
        <v>884</v>
      </c>
      <c r="B23" s="7" t="s">
        <v>1081</v>
      </c>
      <c r="C23" s="7" t="s">
        <v>1082</v>
      </c>
      <c r="D23" s="7" t="s">
        <v>1083</v>
      </c>
      <c r="E23" s="7" t="s">
        <v>971</v>
      </c>
      <c r="F23" s="7" t="s">
        <v>196</v>
      </c>
      <c r="G23" s="7" t="s">
        <v>1084</v>
      </c>
      <c r="H23" s="7" t="s">
        <v>1025</v>
      </c>
      <c r="I23" s="7" t="s">
        <v>1085</v>
      </c>
    </row>
    <row r="24" spans="1:9" ht="22.5" customHeight="1">
      <c r="A24" s="7" t="s">
        <v>1086</v>
      </c>
      <c r="B24" s="7" t="s">
        <v>971</v>
      </c>
      <c r="C24" s="7" t="s">
        <v>971</v>
      </c>
      <c r="D24" s="7" t="s">
        <v>971</v>
      </c>
      <c r="E24" s="7" t="s">
        <v>971</v>
      </c>
      <c r="F24" s="7" t="s">
        <v>196</v>
      </c>
      <c r="G24" s="7" t="s">
        <v>971</v>
      </c>
      <c r="H24" s="7" t="s">
        <v>1087</v>
      </c>
      <c r="I24" s="7" t="s">
        <v>971</v>
      </c>
    </row>
    <row r="25" spans="1:9" ht="22.5" customHeight="1">
      <c r="A25" s="7" t="s">
        <v>1197</v>
      </c>
      <c r="B25" s="7" t="s">
        <v>971</v>
      </c>
      <c r="C25" s="7" t="s">
        <v>971</v>
      </c>
      <c r="D25" s="7" t="s">
        <v>971</v>
      </c>
      <c r="E25" s="7" t="s">
        <v>971</v>
      </c>
      <c r="F25" s="7" t="s">
        <v>196</v>
      </c>
      <c r="G25" s="7" t="s">
        <v>971</v>
      </c>
      <c r="H25" s="7" t="s">
        <v>1198</v>
      </c>
      <c r="I25" s="7" t="s">
        <v>971</v>
      </c>
    </row>
    <row r="26" spans="1:9" ht="22.5" customHeight="1">
      <c r="A26" s="7" t="s">
        <v>895</v>
      </c>
      <c r="B26" s="7" t="s">
        <v>1088</v>
      </c>
      <c r="C26" s="7" t="s">
        <v>1089</v>
      </c>
      <c r="D26" s="7" t="s">
        <v>1090</v>
      </c>
      <c r="E26" s="7" t="s">
        <v>971</v>
      </c>
      <c r="F26" s="7" t="s">
        <v>196</v>
      </c>
      <c r="G26" s="7" t="s">
        <v>1091</v>
      </c>
      <c r="H26" s="7" t="s">
        <v>1092</v>
      </c>
      <c r="I26" s="7" t="s">
        <v>1093</v>
      </c>
    </row>
    <row r="27" spans="1:9" ht="22.5" customHeight="1">
      <c r="A27" s="7" t="s">
        <v>469</v>
      </c>
      <c r="B27" s="7" t="s">
        <v>1094</v>
      </c>
      <c r="C27" s="7" t="s">
        <v>1095</v>
      </c>
      <c r="D27" s="7" t="s">
        <v>1096</v>
      </c>
      <c r="E27" s="7" t="s">
        <v>1097</v>
      </c>
      <c r="F27" s="7" t="s">
        <v>196</v>
      </c>
      <c r="G27" s="7" t="s">
        <v>1098</v>
      </c>
      <c r="H27" s="7" t="s">
        <v>1199</v>
      </c>
      <c r="I27" s="7" t="s">
        <v>1100</v>
      </c>
    </row>
    <row r="28" spans="1:9" ht="22.5" customHeight="1">
      <c r="A28" s="7" t="s">
        <v>511</v>
      </c>
      <c r="B28" s="7" t="s">
        <v>1101</v>
      </c>
      <c r="C28" s="7" t="s">
        <v>1102</v>
      </c>
      <c r="D28" s="7" t="s">
        <v>1103</v>
      </c>
      <c r="E28" s="7" t="s">
        <v>971</v>
      </c>
      <c r="F28" s="7" t="s">
        <v>196</v>
      </c>
      <c r="G28" s="7" t="s">
        <v>1104</v>
      </c>
      <c r="H28" s="7" t="s">
        <v>1025</v>
      </c>
      <c r="I28" s="7" t="s">
        <v>1046</v>
      </c>
    </row>
    <row r="29" spans="1:9" ht="22.5" customHeight="1">
      <c r="A29" s="7" t="s">
        <v>603</v>
      </c>
      <c r="B29" s="7" t="s">
        <v>1105</v>
      </c>
      <c r="C29" s="7" t="s">
        <v>1106</v>
      </c>
      <c r="D29" s="7" t="s">
        <v>1107</v>
      </c>
      <c r="E29" s="7" t="s">
        <v>1108</v>
      </c>
      <c r="F29" s="7" t="s">
        <v>196</v>
      </c>
      <c r="G29" s="7" t="s">
        <v>1109</v>
      </c>
      <c r="H29" s="7" t="s">
        <v>1110</v>
      </c>
      <c r="I29" s="7" t="s">
        <v>1111</v>
      </c>
    </row>
    <row r="30" spans="1:9" ht="22.5" customHeight="1">
      <c r="A30" s="7" t="s">
        <v>621</v>
      </c>
      <c r="B30" s="7" t="s">
        <v>1112</v>
      </c>
      <c r="C30" s="7" t="s">
        <v>1106</v>
      </c>
      <c r="D30" s="7" t="s">
        <v>1113</v>
      </c>
      <c r="E30" s="7" t="s">
        <v>1114</v>
      </c>
      <c r="F30" s="7" t="s">
        <v>196</v>
      </c>
      <c r="G30" s="7" t="s">
        <v>1115</v>
      </c>
      <c r="H30" s="7" t="s">
        <v>1025</v>
      </c>
      <c r="I30" s="7" t="s">
        <v>1116</v>
      </c>
    </row>
    <row r="31" spans="1:9" ht="22.5" customHeight="1">
      <c r="A31" s="7" t="s">
        <v>582</v>
      </c>
      <c r="B31" s="7" t="s">
        <v>1117</v>
      </c>
      <c r="C31" s="7" t="s">
        <v>1106</v>
      </c>
      <c r="D31" s="7" t="s">
        <v>1118</v>
      </c>
      <c r="E31" s="7" t="s">
        <v>1119</v>
      </c>
      <c r="F31" s="7" t="s">
        <v>196</v>
      </c>
      <c r="G31" s="7" t="s">
        <v>1120</v>
      </c>
      <c r="H31" s="7" t="s">
        <v>1121</v>
      </c>
      <c r="I31" s="7" t="s">
        <v>1122</v>
      </c>
    </row>
    <row r="32" spans="1:9" ht="22.5" customHeight="1">
      <c r="A32" s="7" t="s">
        <v>539</v>
      </c>
      <c r="B32" s="7" t="s">
        <v>1123</v>
      </c>
      <c r="C32" s="7" t="s">
        <v>1106</v>
      </c>
      <c r="D32" s="7" t="s">
        <v>1124</v>
      </c>
      <c r="E32" s="7" t="s">
        <v>1125</v>
      </c>
      <c r="F32" s="7" t="s">
        <v>196</v>
      </c>
      <c r="G32" s="7" t="s">
        <v>1126</v>
      </c>
      <c r="H32" s="7" t="s">
        <v>1127</v>
      </c>
      <c r="I32" s="7" t="s">
        <v>1111</v>
      </c>
    </row>
    <row r="33" spans="1:9" ht="22.5" customHeight="1">
      <c r="A33" s="7" t="s">
        <v>566</v>
      </c>
      <c r="B33" s="7" t="s">
        <v>1128</v>
      </c>
      <c r="C33" s="7" t="s">
        <v>1129</v>
      </c>
      <c r="D33" s="7" t="s">
        <v>1130</v>
      </c>
      <c r="E33" s="7" t="s">
        <v>971</v>
      </c>
      <c r="F33" s="7" t="s">
        <v>196</v>
      </c>
      <c r="G33" s="7" t="s">
        <v>1131</v>
      </c>
      <c r="H33" s="7" t="s">
        <v>1200</v>
      </c>
      <c r="I33" s="7" t="s">
        <v>1046</v>
      </c>
    </row>
    <row r="34" spans="1:9" ht="22.5" customHeight="1">
      <c r="A34" s="7" t="s">
        <v>592</v>
      </c>
      <c r="B34" s="7" t="s">
        <v>1133</v>
      </c>
      <c r="C34" s="7" t="s">
        <v>1134</v>
      </c>
      <c r="D34" s="7" t="s">
        <v>1135</v>
      </c>
      <c r="E34" s="7" t="s">
        <v>1136</v>
      </c>
      <c r="F34" s="7" t="s">
        <v>196</v>
      </c>
      <c r="G34" s="7" t="s">
        <v>1137</v>
      </c>
      <c r="H34" s="7" t="s">
        <v>1025</v>
      </c>
      <c r="I34" s="7" t="s">
        <v>1080</v>
      </c>
    </row>
    <row r="35" spans="1:9" ht="22.5" customHeight="1">
      <c r="A35" s="7" t="s">
        <v>632</v>
      </c>
      <c r="B35" s="7" t="s">
        <v>1138</v>
      </c>
      <c r="C35" s="7" t="s">
        <v>1106</v>
      </c>
      <c r="D35" s="7" t="s">
        <v>1139</v>
      </c>
      <c r="E35" s="7" t="s">
        <v>1140</v>
      </c>
      <c r="F35" s="7" t="s">
        <v>196</v>
      </c>
      <c r="G35" s="7" t="s">
        <v>1141</v>
      </c>
      <c r="H35" s="7" t="s">
        <v>1142</v>
      </c>
      <c r="I35" s="7" t="s">
        <v>1111</v>
      </c>
    </row>
    <row r="36" spans="1:9" ht="22.5" customHeight="1">
      <c r="A36" s="7" t="s">
        <v>660</v>
      </c>
      <c r="B36" s="7" t="s">
        <v>1143</v>
      </c>
      <c r="C36" s="7" t="s">
        <v>1144</v>
      </c>
      <c r="D36" s="7" t="s">
        <v>1145</v>
      </c>
      <c r="E36" s="7" t="s">
        <v>971</v>
      </c>
      <c r="F36" s="7" t="s">
        <v>984</v>
      </c>
      <c r="G36" s="7" t="s">
        <v>1146</v>
      </c>
      <c r="H36" s="7" t="s">
        <v>1147</v>
      </c>
      <c r="I36" s="7" t="s">
        <v>1148</v>
      </c>
    </row>
    <row r="37" spans="1:9" ht="22.5" customHeight="1">
      <c r="A37" s="7" t="s">
        <v>694</v>
      </c>
      <c r="B37" s="7" t="s">
        <v>971</v>
      </c>
      <c r="C37" s="7" t="s">
        <v>971</v>
      </c>
      <c r="D37" s="7" t="s">
        <v>971</v>
      </c>
      <c r="E37" s="7" t="s">
        <v>971</v>
      </c>
      <c r="F37" s="7" t="s">
        <v>196</v>
      </c>
      <c r="G37" s="7" t="s">
        <v>971</v>
      </c>
      <c r="H37" s="7" t="s">
        <v>1149</v>
      </c>
      <c r="I37" s="7" t="s">
        <v>971</v>
      </c>
    </row>
    <row r="38" spans="1:9" ht="22.5" customHeight="1">
      <c r="A38" s="7" t="s">
        <v>713</v>
      </c>
      <c r="B38" s="7" t="s">
        <v>1150</v>
      </c>
      <c r="C38" s="7" t="s">
        <v>1151</v>
      </c>
      <c r="D38" s="7" t="s">
        <v>1152</v>
      </c>
      <c r="E38" s="7" t="s">
        <v>971</v>
      </c>
      <c r="F38" s="7" t="s">
        <v>196</v>
      </c>
      <c r="G38" s="7" t="s">
        <v>1153</v>
      </c>
      <c r="H38" s="7" t="s">
        <v>1045</v>
      </c>
      <c r="I38" s="7" t="s">
        <v>1154</v>
      </c>
    </row>
    <row r="39" spans="1:9" ht="22.5" customHeight="1">
      <c r="A39" s="7" t="s">
        <v>717</v>
      </c>
      <c r="B39" s="7" t="s">
        <v>1155</v>
      </c>
      <c r="C39" s="7" t="s">
        <v>1089</v>
      </c>
      <c r="D39" s="7" t="s">
        <v>1156</v>
      </c>
      <c r="E39" s="7" t="s">
        <v>1157</v>
      </c>
      <c r="F39" s="7" t="s">
        <v>984</v>
      </c>
      <c r="G39" s="7" t="s">
        <v>1158</v>
      </c>
      <c r="H39" s="7" t="s">
        <v>1159</v>
      </c>
      <c r="I39" s="7" t="s">
        <v>1080</v>
      </c>
    </row>
    <row r="40" spans="1:9" ht="22.5" customHeight="1">
      <c r="A40" s="7" t="s">
        <v>1160</v>
      </c>
      <c r="B40" s="7" t="s">
        <v>1161</v>
      </c>
      <c r="C40" s="7" t="s">
        <v>1162</v>
      </c>
      <c r="D40" s="7" t="s">
        <v>1163</v>
      </c>
      <c r="E40" s="7" t="s">
        <v>971</v>
      </c>
      <c r="F40" s="7" t="s">
        <v>196</v>
      </c>
      <c r="G40" s="7" t="s">
        <v>1164</v>
      </c>
      <c r="H40" s="7" t="s">
        <v>1165</v>
      </c>
      <c r="I40" s="7" t="s">
        <v>1166</v>
      </c>
    </row>
    <row r="41" spans="1:9" ht="22.5" customHeight="1">
      <c r="A41" s="7" t="s">
        <v>1201</v>
      </c>
      <c r="B41" s="7" t="s">
        <v>971</v>
      </c>
      <c r="C41" s="7" t="s">
        <v>971</v>
      </c>
      <c r="D41" s="7" t="s">
        <v>971</v>
      </c>
      <c r="E41" s="7" t="s">
        <v>971</v>
      </c>
      <c r="F41" s="7" t="s">
        <v>196</v>
      </c>
      <c r="G41" s="7" t="s">
        <v>971</v>
      </c>
      <c r="H41" s="7" t="s">
        <v>1202</v>
      </c>
      <c r="I41" s="7" t="s">
        <v>971</v>
      </c>
    </row>
    <row r="42" spans="1:9" ht="22.5" customHeight="1">
      <c r="A42" s="7" t="s">
        <v>728</v>
      </c>
      <c r="B42" s="7" t="s">
        <v>1167</v>
      </c>
      <c r="C42" s="7" t="s">
        <v>1168</v>
      </c>
      <c r="D42" s="7" t="s">
        <v>1169</v>
      </c>
      <c r="E42" s="7" t="s">
        <v>971</v>
      </c>
      <c r="F42" s="7" t="s">
        <v>196</v>
      </c>
      <c r="G42" s="7" t="s">
        <v>1170</v>
      </c>
      <c r="H42" s="7" t="s">
        <v>1171</v>
      </c>
      <c r="I42" s="7" t="s">
        <v>1111</v>
      </c>
    </row>
    <row r="43" spans="1:9" ht="22.5" customHeight="1">
      <c r="A43" s="7" t="s">
        <v>900</v>
      </c>
      <c r="B43" s="7" t="s">
        <v>1172</v>
      </c>
      <c r="C43" s="7" t="s">
        <v>1173</v>
      </c>
      <c r="D43" s="7" t="s">
        <v>1174</v>
      </c>
      <c r="E43" s="7" t="s">
        <v>971</v>
      </c>
      <c r="F43" s="7" t="s">
        <v>196</v>
      </c>
      <c r="G43" s="7" t="s">
        <v>1175</v>
      </c>
      <c r="H43" s="7" t="s">
        <v>1176</v>
      </c>
      <c r="I43" s="7" t="s">
        <v>1177</v>
      </c>
    </row>
    <row r="44" spans="1:9" ht="22.5" customHeight="1">
      <c r="A44" s="7" t="s">
        <v>1178</v>
      </c>
      <c r="B44" s="7" t="s">
        <v>1179</v>
      </c>
      <c r="C44" s="7" t="s">
        <v>1180</v>
      </c>
      <c r="D44" s="7" t="s">
        <v>1181</v>
      </c>
      <c r="E44" s="7" t="s">
        <v>971</v>
      </c>
      <c r="F44" s="7" t="s">
        <v>196</v>
      </c>
      <c r="G44" s="7" t="s">
        <v>1182</v>
      </c>
      <c r="H44" s="7" t="s">
        <v>1025</v>
      </c>
      <c r="I44" s="7" t="s">
        <v>1166</v>
      </c>
    </row>
    <row r="45" spans="1:9" ht="22.5" customHeight="1">
      <c r="A45" s="7" t="s">
        <v>767</v>
      </c>
      <c r="B45" s="7" t="s">
        <v>1183</v>
      </c>
      <c r="C45" s="7" t="s">
        <v>1184</v>
      </c>
      <c r="D45" s="7" t="s">
        <v>1185</v>
      </c>
      <c r="E45" s="7" t="s">
        <v>971</v>
      </c>
      <c r="F45" s="7" t="s">
        <v>1052</v>
      </c>
      <c r="G45" s="7" t="s">
        <v>1186</v>
      </c>
      <c r="H45" s="7" t="s">
        <v>1187</v>
      </c>
      <c r="I45" s="7" t="s">
        <v>1111</v>
      </c>
    </row>
    <row r="46" spans="1:9" ht="22.5" customHeight="1">
      <c r="A46" s="7" t="s">
        <v>787</v>
      </c>
      <c r="B46" s="7" t="s">
        <v>1188</v>
      </c>
      <c r="C46" s="7" t="s">
        <v>1189</v>
      </c>
      <c r="D46" s="7" t="s">
        <v>1190</v>
      </c>
      <c r="E46" s="7" t="s">
        <v>971</v>
      </c>
      <c r="F46" s="7" t="s">
        <v>984</v>
      </c>
      <c r="G46" s="7" t="s">
        <v>1191</v>
      </c>
      <c r="H46" s="7" t="s">
        <v>1192</v>
      </c>
      <c r="I46" s="7" t="s">
        <v>1080</v>
      </c>
    </row>
    <row r="47" spans="1:9" ht="22.5" customHeight="1">
      <c r="A47" s="7" t="s">
        <v>795</v>
      </c>
      <c r="B47" s="7" t="s">
        <v>1193</v>
      </c>
      <c r="C47" s="7" t="s">
        <v>981</v>
      </c>
      <c r="D47" s="7" t="s">
        <v>1194</v>
      </c>
      <c r="E47" s="7" t="s">
        <v>971</v>
      </c>
      <c r="F47" s="7" t="s">
        <v>196</v>
      </c>
      <c r="G47" s="7" t="s">
        <v>1195</v>
      </c>
      <c r="H47" s="7" t="s">
        <v>1025</v>
      </c>
      <c r="I47" s="7" t="s">
        <v>1040</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C47"/>
  <sheetViews>
    <sheetView workbookViewId="0"/>
  </sheetViews>
  <sheetFormatPr baseColWidth="10" defaultColWidth="12.6640625" defaultRowHeight="15.75" customHeight="1"/>
  <cols>
    <col min="1" max="1" width="44.83203125" customWidth="1"/>
    <col min="2" max="2" width="39" customWidth="1"/>
    <col min="3" max="3" width="20.1640625" customWidth="1"/>
  </cols>
  <sheetData>
    <row r="1" spans="1:3" ht="15.75" customHeight="1">
      <c r="A1" s="10" t="s">
        <v>1203</v>
      </c>
      <c r="B1" s="10" t="s">
        <v>817</v>
      </c>
      <c r="C1" s="21" t="s">
        <v>1204</v>
      </c>
    </row>
    <row r="2" spans="1:3" ht="15.75" customHeight="1">
      <c r="A2" s="10" t="s">
        <v>152</v>
      </c>
      <c r="B2" s="10" t="s">
        <v>191</v>
      </c>
      <c r="C2" s="21" t="s">
        <v>828</v>
      </c>
    </row>
    <row r="3" spans="1:3" ht="15.75" customHeight="1">
      <c r="A3" s="10" t="s">
        <v>189</v>
      </c>
      <c r="B3" s="10" t="s">
        <v>191</v>
      </c>
      <c r="C3" s="21" t="s">
        <v>828</v>
      </c>
    </row>
    <row r="4" spans="1:3" ht="15.75" customHeight="1">
      <c r="A4" s="10" t="s">
        <v>1205</v>
      </c>
      <c r="B4" s="10" t="s">
        <v>204</v>
      </c>
      <c r="C4" s="21" t="s">
        <v>828</v>
      </c>
    </row>
    <row r="5" spans="1:3" ht="15.75" customHeight="1">
      <c r="A5" s="10" t="s">
        <v>1206</v>
      </c>
      <c r="B5" s="10" t="s">
        <v>1207</v>
      </c>
      <c r="C5" s="21" t="s">
        <v>828</v>
      </c>
    </row>
    <row r="6" spans="1:3" ht="15.75" customHeight="1">
      <c r="A6" s="10" t="s">
        <v>226</v>
      </c>
      <c r="B6" s="10" t="s">
        <v>228</v>
      </c>
      <c r="C6" s="21" t="s">
        <v>828</v>
      </c>
    </row>
    <row r="7" spans="1:3" ht="15.75" customHeight="1">
      <c r="A7" s="10" t="s">
        <v>1208</v>
      </c>
      <c r="B7" s="10" t="s">
        <v>191</v>
      </c>
      <c r="C7" s="21" t="s">
        <v>828</v>
      </c>
    </row>
    <row r="8" spans="1:3" ht="15.75" customHeight="1">
      <c r="A8" s="10" t="s">
        <v>1209</v>
      </c>
      <c r="B8" s="10" t="s">
        <v>814</v>
      </c>
    </row>
    <row r="9" spans="1:3" ht="15.75" customHeight="1">
      <c r="A9" s="10" t="s">
        <v>258</v>
      </c>
      <c r="B9" s="10" t="s">
        <v>815</v>
      </c>
      <c r="C9" s="21" t="s">
        <v>828</v>
      </c>
    </row>
    <row r="10" spans="1:3" ht="15.75" customHeight="1">
      <c r="A10" s="10" t="s">
        <v>1210</v>
      </c>
      <c r="B10" s="10" t="s">
        <v>1211</v>
      </c>
    </row>
    <row r="11" spans="1:3" ht="15.75" customHeight="1">
      <c r="A11" s="10" t="s">
        <v>1212</v>
      </c>
      <c r="B11" s="10" t="s">
        <v>1213</v>
      </c>
    </row>
    <row r="12" spans="1:3" ht="15.75" customHeight="1">
      <c r="A12" s="10" t="s">
        <v>1214</v>
      </c>
      <c r="B12" s="10" t="s">
        <v>1213</v>
      </c>
    </row>
    <row r="13" spans="1:3" ht="15.75" customHeight="1">
      <c r="A13" s="10" t="s">
        <v>269</v>
      </c>
      <c r="B13" s="10" t="s">
        <v>270</v>
      </c>
      <c r="C13" s="21" t="s">
        <v>828</v>
      </c>
    </row>
    <row r="14" spans="1:3" ht="15.75" customHeight="1">
      <c r="A14" s="10" t="s">
        <v>291</v>
      </c>
      <c r="B14" s="10" t="s">
        <v>270</v>
      </c>
      <c r="C14" s="21" t="s">
        <v>828</v>
      </c>
    </row>
    <row r="15" spans="1:3" ht="15.75" customHeight="1">
      <c r="A15" s="10" t="s">
        <v>295</v>
      </c>
      <c r="B15" s="10" t="s">
        <v>296</v>
      </c>
      <c r="C15" s="21" t="s">
        <v>828</v>
      </c>
    </row>
    <row r="16" spans="1:3" ht="15.75" customHeight="1">
      <c r="A16" s="10" t="s">
        <v>1034</v>
      </c>
      <c r="B16" s="10" t="s">
        <v>1215</v>
      </c>
    </row>
    <row r="17" spans="1:3" ht="15.75" customHeight="1">
      <c r="A17" s="10" t="s">
        <v>305</v>
      </c>
      <c r="B17" s="10" t="s">
        <v>319</v>
      </c>
      <c r="C17" s="21" t="s">
        <v>828</v>
      </c>
    </row>
    <row r="18" spans="1:3" ht="15.75" customHeight="1">
      <c r="A18" s="10" t="s">
        <v>1216</v>
      </c>
      <c r="B18" s="10" t="s">
        <v>909</v>
      </c>
      <c r="C18" s="21" t="s">
        <v>828</v>
      </c>
    </row>
    <row r="19" spans="1:3" ht="15.75" customHeight="1">
      <c r="A19" s="10" t="s">
        <v>1217</v>
      </c>
      <c r="B19" s="10" t="s">
        <v>330</v>
      </c>
      <c r="C19" s="21" t="s">
        <v>828</v>
      </c>
    </row>
    <row r="20" spans="1:3" ht="15.75" customHeight="1">
      <c r="A20" s="10" t="s">
        <v>339</v>
      </c>
      <c r="B20" s="10" t="s">
        <v>330</v>
      </c>
      <c r="C20" s="21" t="s">
        <v>828</v>
      </c>
    </row>
    <row r="21" spans="1:3" ht="15.75" customHeight="1">
      <c r="A21" s="10" t="s">
        <v>354</v>
      </c>
      <c r="B21" s="10" t="s">
        <v>296</v>
      </c>
      <c r="C21" s="21" t="s">
        <v>828</v>
      </c>
    </row>
    <row r="22" spans="1:3" ht="15.75" customHeight="1">
      <c r="A22" s="10" t="s">
        <v>387</v>
      </c>
      <c r="B22" s="10" t="s">
        <v>414</v>
      </c>
      <c r="C22" s="21" t="s">
        <v>828</v>
      </c>
    </row>
    <row r="23" spans="1:3" ht="15.75" customHeight="1">
      <c r="A23" s="10" t="s">
        <v>1218</v>
      </c>
      <c r="B23" s="10" t="s">
        <v>414</v>
      </c>
      <c r="C23" s="21" t="s">
        <v>828</v>
      </c>
    </row>
    <row r="24" spans="1:3" ht="15.75" customHeight="1">
      <c r="A24" s="10" t="s">
        <v>1219</v>
      </c>
      <c r="B24" s="10" t="s">
        <v>191</v>
      </c>
      <c r="C24" s="21" t="s">
        <v>828</v>
      </c>
    </row>
    <row r="25" spans="1:3" ht="15.75" customHeight="1">
      <c r="A25" s="10" t="s">
        <v>459</v>
      </c>
      <c r="B25" s="10" t="s">
        <v>296</v>
      </c>
      <c r="C25" s="21" t="s">
        <v>828</v>
      </c>
    </row>
    <row r="26" spans="1:3" ht="15.75" customHeight="1">
      <c r="A26" s="10" t="s">
        <v>1220</v>
      </c>
      <c r="B26" s="10" t="s">
        <v>191</v>
      </c>
      <c r="C26" s="21" t="s">
        <v>828</v>
      </c>
    </row>
    <row r="27" spans="1:3" ht="15.75" customHeight="1">
      <c r="A27" s="10" t="s">
        <v>511</v>
      </c>
      <c r="B27" s="10" t="s">
        <v>526</v>
      </c>
      <c r="C27" s="21" t="s">
        <v>828</v>
      </c>
    </row>
    <row r="28" spans="1:3" ht="15.75" customHeight="1">
      <c r="A28" s="10" t="s">
        <v>511</v>
      </c>
      <c r="B28" s="10" t="s">
        <v>513</v>
      </c>
      <c r="C28" s="21" t="s">
        <v>828</v>
      </c>
    </row>
    <row r="29" spans="1:3" ht="15.75" customHeight="1">
      <c r="A29" s="10" t="s">
        <v>1221</v>
      </c>
      <c r="B29" s="10" t="s">
        <v>568</v>
      </c>
      <c r="C29" s="21" t="s">
        <v>828</v>
      </c>
    </row>
    <row r="30" spans="1:3" ht="15.75" customHeight="1">
      <c r="A30" s="10" t="s">
        <v>592</v>
      </c>
      <c r="B30" s="10" t="s">
        <v>814</v>
      </c>
      <c r="C30" s="21" t="s">
        <v>828</v>
      </c>
    </row>
    <row r="31" spans="1:3" ht="15.75" customHeight="1">
      <c r="A31" s="10" t="s">
        <v>1222</v>
      </c>
      <c r="B31" s="10" t="s">
        <v>191</v>
      </c>
      <c r="C31" s="21" t="s">
        <v>828</v>
      </c>
    </row>
    <row r="32" spans="1:3" ht="15.75" customHeight="1">
      <c r="A32" s="10" t="s">
        <v>1223</v>
      </c>
      <c r="B32" s="10" t="s">
        <v>191</v>
      </c>
      <c r="C32" s="21" t="s">
        <v>828</v>
      </c>
    </row>
    <row r="33" spans="1:3" ht="15.75" customHeight="1">
      <c r="A33" s="10" t="s">
        <v>1224</v>
      </c>
      <c r="B33" s="10" t="s">
        <v>191</v>
      </c>
      <c r="C33" s="21" t="s">
        <v>828</v>
      </c>
    </row>
    <row r="34" spans="1:3" ht="15.75" customHeight="1">
      <c r="A34" s="10" t="s">
        <v>621</v>
      </c>
      <c r="B34" s="10" t="s">
        <v>813</v>
      </c>
      <c r="C34" s="21" t="s">
        <v>828</v>
      </c>
    </row>
    <row r="35" spans="1:3" ht="15.75" customHeight="1">
      <c r="A35" s="10" t="s">
        <v>1225</v>
      </c>
      <c r="B35" s="10" t="s">
        <v>191</v>
      </c>
      <c r="C35" s="21" t="s">
        <v>828</v>
      </c>
    </row>
    <row r="36" spans="1:3" ht="15.75" customHeight="1">
      <c r="A36" s="10" t="s">
        <v>1226</v>
      </c>
      <c r="B36" s="10" t="s">
        <v>662</v>
      </c>
      <c r="C36" s="21" t="s">
        <v>828</v>
      </c>
    </row>
    <row r="37" spans="1:3" ht="15.75" customHeight="1">
      <c r="A37" s="10" t="s">
        <v>1227</v>
      </c>
      <c r="B37" s="10" t="s">
        <v>1228</v>
      </c>
      <c r="C37" s="21" t="s">
        <v>1229</v>
      </c>
    </row>
    <row r="38" spans="1:3" ht="15.75" customHeight="1">
      <c r="A38" s="10" t="s">
        <v>713</v>
      </c>
      <c r="B38" s="10" t="s">
        <v>1228</v>
      </c>
      <c r="C38" s="21" t="s">
        <v>1229</v>
      </c>
    </row>
    <row r="39" spans="1:3" ht="15.75" customHeight="1">
      <c r="A39" s="10" t="s">
        <v>717</v>
      </c>
      <c r="B39" s="10" t="s">
        <v>296</v>
      </c>
      <c r="C39" s="21" t="s">
        <v>828</v>
      </c>
    </row>
    <row r="40" spans="1:3" ht="15.75" customHeight="1">
      <c r="A40" s="10" t="s">
        <v>1230</v>
      </c>
      <c r="B40" s="10" t="s">
        <v>1231</v>
      </c>
    </row>
    <row r="41" spans="1:3" ht="15.75" customHeight="1">
      <c r="A41" s="10" t="s">
        <v>1232</v>
      </c>
      <c r="B41" s="10" t="s">
        <v>730</v>
      </c>
      <c r="C41" s="21" t="s">
        <v>828</v>
      </c>
    </row>
    <row r="42" spans="1:3" ht="15.75" customHeight="1">
      <c r="A42" s="10" t="s">
        <v>1233</v>
      </c>
      <c r="B42" s="10" t="s">
        <v>735</v>
      </c>
      <c r="C42" s="21" t="s">
        <v>828</v>
      </c>
    </row>
    <row r="43" spans="1:3" ht="15.75" customHeight="1">
      <c r="A43" s="10" t="s">
        <v>1234</v>
      </c>
      <c r="B43" s="10" t="s">
        <v>191</v>
      </c>
    </row>
    <row r="44" spans="1:3" ht="15.75" customHeight="1">
      <c r="A44" s="10" t="s">
        <v>767</v>
      </c>
      <c r="B44" s="10" t="s">
        <v>204</v>
      </c>
      <c r="C44" s="21" t="s">
        <v>828</v>
      </c>
    </row>
    <row r="45" spans="1:3" ht="15.75" customHeight="1">
      <c r="A45" s="10" t="s">
        <v>787</v>
      </c>
      <c r="B45" s="10" t="s">
        <v>296</v>
      </c>
      <c r="C45" s="21" t="s">
        <v>828</v>
      </c>
    </row>
    <row r="46" spans="1:3" ht="15.75" customHeight="1">
      <c r="A46" s="10" t="s">
        <v>1235</v>
      </c>
      <c r="B46" s="10" t="s">
        <v>204</v>
      </c>
      <c r="C46" s="21" t="s">
        <v>828</v>
      </c>
    </row>
    <row r="47" spans="1:3" ht="15.75" customHeight="1">
      <c r="A47" s="10" t="s">
        <v>795</v>
      </c>
      <c r="B47" s="10" t="s">
        <v>204</v>
      </c>
      <c r="C47" s="21" t="s">
        <v>828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G38"/>
  <sheetViews>
    <sheetView workbookViewId="0">
      <pane ySplit="1" topLeftCell="A2" activePane="bottomLeft" state="frozen"/>
      <selection pane="bottomLeft" activeCell="B3" sqref="B3"/>
    </sheetView>
  </sheetViews>
  <sheetFormatPr baseColWidth="10" defaultColWidth="12.6640625" defaultRowHeight="15.75" customHeight="1"/>
  <cols>
    <col min="1" max="1" width="37.6640625" customWidth="1"/>
    <col min="2" max="2" width="29" customWidth="1"/>
    <col min="3" max="4" width="37.6640625" customWidth="1"/>
    <col min="5" max="5" width="28.33203125" customWidth="1"/>
    <col min="6" max="6" width="37.1640625" customWidth="1"/>
    <col min="7" max="7" width="20.6640625" customWidth="1"/>
  </cols>
  <sheetData>
    <row r="1" spans="1:7" ht="22.5" customHeight="1">
      <c r="A1" s="22" t="s">
        <v>816</v>
      </c>
      <c r="B1" s="22" t="s">
        <v>817</v>
      </c>
      <c r="C1" s="22" t="s">
        <v>1236</v>
      </c>
      <c r="D1" s="22" t="s">
        <v>1237</v>
      </c>
      <c r="E1" s="22" t="s">
        <v>1238</v>
      </c>
      <c r="F1" s="22" t="s">
        <v>818</v>
      </c>
      <c r="G1" s="22" t="s">
        <v>1239</v>
      </c>
    </row>
    <row r="2" spans="1:7" ht="22.5" customHeight="1">
      <c r="A2" s="7" t="s">
        <v>830</v>
      </c>
      <c r="B2" s="7" t="s">
        <v>270</v>
      </c>
      <c r="C2" s="7" t="s">
        <v>1240</v>
      </c>
      <c r="D2" s="7" t="s">
        <v>1241</v>
      </c>
      <c r="E2" s="7" t="s">
        <v>1242</v>
      </c>
      <c r="F2" s="7" t="s">
        <v>831</v>
      </c>
      <c r="G2" s="7" t="s">
        <v>1243</v>
      </c>
    </row>
    <row r="3" spans="1:7" ht="22.5" customHeight="1">
      <c r="A3" s="7" t="s">
        <v>291</v>
      </c>
      <c r="B3" s="7" t="s">
        <v>270</v>
      </c>
      <c r="C3" s="7" t="s">
        <v>1240</v>
      </c>
      <c r="D3" s="7" t="s">
        <v>1244</v>
      </c>
      <c r="E3" s="7" t="s">
        <v>1242</v>
      </c>
      <c r="F3" s="7" t="s">
        <v>831</v>
      </c>
      <c r="G3" s="7" t="s">
        <v>1243</v>
      </c>
    </row>
    <row r="4" spans="1:7" ht="22.5" customHeight="1">
      <c r="A4" s="7" t="s">
        <v>189</v>
      </c>
      <c r="B4" s="7" t="s">
        <v>191</v>
      </c>
      <c r="C4" s="7" t="s">
        <v>1245</v>
      </c>
      <c r="D4" s="7" t="s">
        <v>1246</v>
      </c>
      <c r="E4" s="7" t="s">
        <v>1247</v>
      </c>
      <c r="F4" s="7" t="s">
        <v>824</v>
      </c>
      <c r="G4" s="7" t="s">
        <v>1243</v>
      </c>
    </row>
    <row r="5" spans="1:7" ht="22.5" customHeight="1">
      <c r="A5" s="7" t="s">
        <v>566</v>
      </c>
      <c r="B5" s="7" t="s">
        <v>568</v>
      </c>
      <c r="C5" s="7" t="s">
        <v>1248</v>
      </c>
      <c r="D5" s="7" t="s">
        <v>1249</v>
      </c>
      <c r="E5" s="7" t="s">
        <v>1250</v>
      </c>
      <c r="F5" s="7" t="s">
        <v>914</v>
      </c>
      <c r="G5" s="7" t="s">
        <v>1243</v>
      </c>
    </row>
    <row r="6" spans="1:7" ht="22.5" customHeight="1">
      <c r="A6" s="7" t="s">
        <v>660</v>
      </c>
      <c r="B6" s="7" t="s">
        <v>662</v>
      </c>
      <c r="C6" s="7" t="s">
        <v>1251</v>
      </c>
      <c r="D6" s="7" t="s">
        <v>1252</v>
      </c>
      <c r="E6" s="7" t="s">
        <v>1253</v>
      </c>
      <c r="F6" s="7" t="s">
        <v>855</v>
      </c>
      <c r="G6" s="7" t="s">
        <v>1254</v>
      </c>
    </row>
    <row r="7" spans="1:7" ht="22.5" customHeight="1">
      <c r="A7" s="7" t="s">
        <v>717</v>
      </c>
      <c r="B7" s="7" t="s">
        <v>296</v>
      </c>
      <c r="C7" s="7" t="s">
        <v>1255</v>
      </c>
      <c r="D7" s="7" t="s">
        <v>1256</v>
      </c>
      <c r="E7" s="7" t="s">
        <v>1257</v>
      </c>
      <c r="F7" s="7" t="s">
        <v>858</v>
      </c>
      <c r="G7" s="7" t="s">
        <v>1243</v>
      </c>
    </row>
    <row r="8" spans="1:7" ht="22.5" customHeight="1">
      <c r="A8" s="7" t="s">
        <v>895</v>
      </c>
      <c r="B8" s="7" t="s">
        <v>296</v>
      </c>
      <c r="C8" s="7" t="s">
        <v>1258</v>
      </c>
      <c r="D8" s="7" t="s">
        <v>1256</v>
      </c>
      <c r="E8" s="7" t="s">
        <v>1259</v>
      </c>
      <c r="F8" s="7" t="s">
        <v>858</v>
      </c>
      <c r="G8" s="7" t="s">
        <v>1254</v>
      </c>
    </row>
    <row r="9" spans="1:7" ht="22.5" customHeight="1">
      <c r="A9" s="7" t="s">
        <v>787</v>
      </c>
      <c r="B9" s="7" t="s">
        <v>296</v>
      </c>
      <c r="C9" s="7" t="s">
        <v>1260</v>
      </c>
      <c r="D9" s="7" t="s">
        <v>1261</v>
      </c>
      <c r="E9" s="7" t="s">
        <v>1262</v>
      </c>
      <c r="F9" s="7" t="s">
        <v>892</v>
      </c>
      <c r="G9" s="7" t="s">
        <v>1243</v>
      </c>
    </row>
    <row r="10" spans="1:7" ht="22.5" customHeight="1">
      <c r="A10" s="7" t="s">
        <v>152</v>
      </c>
      <c r="B10" s="7" t="s">
        <v>191</v>
      </c>
      <c r="C10" s="7" t="s">
        <v>1263</v>
      </c>
      <c r="D10" s="7" t="s">
        <v>1264</v>
      </c>
      <c r="E10" s="7" t="s">
        <v>1265</v>
      </c>
      <c r="F10" s="7" t="s">
        <v>879</v>
      </c>
      <c r="G10" s="7" t="s">
        <v>1243</v>
      </c>
    </row>
    <row r="11" spans="1:7" ht="22.5" customHeight="1">
      <c r="A11" s="7" t="s">
        <v>582</v>
      </c>
      <c r="B11" s="7" t="s">
        <v>191</v>
      </c>
      <c r="C11" s="7" t="s">
        <v>1248</v>
      </c>
      <c r="D11" s="7" t="s">
        <v>1264</v>
      </c>
      <c r="E11" s="7" t="s">
        <v>1250</v>
      </c>
      <c r="F11" s="7" t="s">
        <v>879</v>
      </c>
      <c r="G11" s="7" t="s">
        <v>1243</v>
      </c>
    </row>
    <row r="12" spans="1:7" ht="22.5" customHeight="1">
      <c r="A12" s="7" t="s">
        <v>539</v>
      </c>
      <c r="B12" s="7" t="s">
        <v>191</v>
      </c>
      <c r="C12" s="7" t="s">
        <v>1248</v>
      </c>
      <c r="D12" s="7" t="s">
        <v>1264</v>
      </c>
      <c r="E12" s="7" t="s">
        <v>1250</v>
      </c>
      <c r="F12" s="7" t="s">
        <v>879</v>
      </c>
      <c r="G12" s="7" t="s">
        <v>1243</v>
      </c>
    </row>
    <row r="13" spans="1:7" ht="22.5" customHeight="1">
      <c r="A13" s="7" t="s">
        <v>258</v>
      </c>
      <c r="B13" s="7" t="s">
        <v>815</v>
      </c>
      <c r="C13" s="7" t="s">
        <v>1266</v>
      </c>
      <c r="D13" s="7" t="s">
        <v>1267</v>
      </c>
      <c r="E13" s="7" t="s">
        <v>1268</v>
      </c>
      <c r="F13" s="7" t="s">
        <v>903</v>
      </c>
      <c r="G13" s="7" t="s">
        <v>1243</v>
      </c>
    </row>
    <row r="14" spans="1:7" ht="22.5" customHeight="1">
      <c r="A14" s="7" t="s">
        <v>354</v>
      </c>
      <c r="B14" s="7" t="s">
        <v>296</v>
      </c>
      <c r="C14" s="7" t="s">
        <v>1269</v>
      </c>
      <c r="D14" s="7" t="s">
        <v>1270</v>
      </c>
      <c r="E14" s="7" t="s">
        <v>1271</v>
      </c>
      <c r="F14" s="7" t="s">
        <v>911</v>
      </c>
      <c r="G14" s="7" t="s">
        <v>1254</v>
      </c>
    </row>
    <row r="15" spans="1:7" ht="22.5" customHeight="1">
      <c r="A15" s="7" t="s">
        <v>305</v>
      </c>
      <c r="B15" s="7" t="s">
        <v>319</v>
      </c>
      <c r="C15" s="7" t="s">
        <v>1272</v>
      </c>
      <c r="D15" s="7" t="s">
        <v>1273</v>
      </c>
      <c r="E15" s="7" t="s">
        <v>1274</v>
      </c>
      <c r="F15" s="7" t="s">
        <v>875</v>
      </c>
      <c r="G15" s="7" t="s">
        <v>1243</v>
      </c>
    </row>
    <row r="16" spans="1:7" ht="22.5" customHeight="1">
      <c r="A16" s="7" t="s">
        <v>317</v>
      </c>
      <c r="B16" s="7" t="s">
        <v>909</v>
      </c>
      <c r="C16" s="7" t="s">
        <v>1272</v>
      </c>
      <c r="D16" s="7" t="s">
        <v>1273</v>
      </c>
      <c r="E16" s="7" t="s">
        <v>1274</v>
      </c>
      <c r="F16" s="7" t="s">
        <v>875</v>
      </c>
      <c r="G16" s="7" t="s">
        <v>1243</v>
      </c>
    </row>
    <row r="17" spans="1:7" ht="22.5" customHeight="1">
      <c r="A17" s="7" t="s">
        <v>511</v>
      </c>
      <c r="B17" s="7" t="s">
        <v>925</v>
      </c>
      <c r="C17" s="7" t="s">
        <v>1275</v>
      </c>
      <c r="D17" s="7" t="s">
        <v>1276</v>
      </c>
      <c r="E17" s="7" t="s">
        <v>1277</v>
      </c>
      <c r="F17" s="7" t="s">
        <v>926</v>
      </c>
      <c r="G17" s="7" t="s">
        <v>1254</v>
      </c>
    </row>
    <row r="18" spans="1:7" ht="22.5" customHeight="1">
      <c r="A18" s="7" t="s">
        <v>469</v>
      </c>
      <c r="B18" s="7" t="s">
        <v>191</v>
      </c>
      <c r="C18" s="7" t="s">
        <v>1278</v>
      </c>
      <c r="D18" s="7" t="s">
        <v>1279</v>
      </c>
      <c r="E18" s="7" t="s">
        <v>1280</v>
      </c>
      <c r="F18" s="7" t="s">
        <v>841</v>
      </c>
      <c r="G18" s="7" t="s">
        <v>1243</v>
      </c>
    </row>
    <row r="19" spans="1:7" ht="22.5" customHeight="1">
      <c r="A19" s="7" t="s">
        <v>387</v>
      </c>
      <c r="B19" s="7" t="s">
        <v>414</v>
      </c>
      <c r="C19" s="7" t="s">
        <v>1281</v>
      </c>
      <c r="D19" s="7" t="s">
        <v>1281</v>
      </c>
      <c r="E19" s="7" t="s">
        <v>1282</v>
      </c>
      <c r="F19" s="7" t="s">
        <v>850</v>
      </c>
      <c r="G19" s="7" t="s">
        <v>1254</v>
      </c>
    </row>
    <row r="20" spans="1:7" ht="22.5" customHeight="1">
      <c r="A20" s="7" t="s">
        <v>403</v>
      </c>
      <c r="B20" s="7" t="s">
        <v>414</v>
      </c>
      <c r="C20" s="7" t="s">
        <v>1283</v>
      </c>
      <c r="D20" s="7" t="s">
        <v>1283</v>
      </c>
      <c r="E20" s="7" t="s">
        <v>1284</v>
      </c>
      <c r="F20" s="7" t="s">
        <v>850</v>
      </c>
      <c r="G20" s="7" t="s">
        <v>1254</v>
      </c>
    </row>
    <row r="21" spans="1:7" ht="22.5" customHeight="1">
      <c r="A21" s="7" t="s">
        <v>603</v>
      </c>
      <c r="B21" s="7" t="s">
        <v>191</v>
      </c>
      <c r="C21" s="7" t="s">
        <v>1285</v>
      </c>
      <c r="D21" s="7" t="s">
        <v>1264</v>
      </c>
      <c r="E21" s="7" t="s">
        <v>1250</v>
      </c>
      <c r="F21" s="7" t="s">
        <v>898</v>
      </c>
      <c r="G21" s="7" t="s">
        <v>1243</v>
      </c>
    </row>
    <row r="22" spans="1:7" ht="22.5" customHeight="1">
      <c r="A22" s="7" t="s">
        <v>632</v>
      </c>
      <c r="B22" s="7" t="s">
        <v>191</v>
      </c>
      <c r="C22" s="7" t="s">
        <v>1285</v>
      </c>
      <c r="D22" s="7" t="s">
        <v>1264</v>
      </c>
      <c r="E22" s="7" t="s">
        <v>1250</v>
      </c>
      <c r="F22" s="7" t="s">
        <v>898</v>
      </c>
      <c r="G22" s="7" t="s">
        <v>1243</v>
      </c>
    </row>
    <row r="23" spans="1:7" ht="22.5" customHeight="1">
      <c r="A23" s="7" t="s">
        <v>621</v>
      </c>
      <c r="B23" s="7" t="s">
        <v>813</v>
      </c>
      <c r="C23" s="7" t="s">
        <v>1285</v>
      </c>
      <c r="D23" s="7" t="s">
        <v>1286</v>
      </c>
      <c r="E23" s="7" t="s">
        <v>1250</v>
      </c>
      <c r="F23" s="7" t="s">
        <v>898</v>
      </c>
      <c r="G23" s="7" t="s">
        <v>1254</v>
      </c>
    </row>
    <row r="24" spans="1:7" ht="22.5" customHeight="1">
      <c r="A24" s="7" t="s">
        <v>884</v>
      </c>
      <c r="B24" s="7" t="s">
        <v>191</v>
      </c>
      <c r="C24" s="7" t="s">
        <v>1287</v>
      </c>
      <c r="D24" s="7" t="s">
        <v>1288</v>
      </c>
      <c r="E24" s="7" t="s">
        <v>1289</v>
      </c>
      <c r="F24" s="7" t="s">
        <v>885</v>
      </c>
      <c r="G24" s="7" t="s">
        <v>1254</v>
      </c>
    </row>
    <row r="25" spans="1:7" ht="22.5" customHeight="1">
      <c r="A25" s="7" t="s">
        <v>713</v>
      </c>
      <c r="B25" s="7" t="s">
        <v>204</v>
      </c>
      <c r="C25" s="7" t="s">
        <v>1290</v>
      </c>
      <c r="D25" s="7" t="s">
        <v>1291</v>
      </c>
      <c r="E25" s="7" t="s">
        <v>1292</v>
      </c>
      <c r="F25" s="7" t="s">
        <v>835</v>
      </c>
      <c r="G25" s="7" t="s">
        <v>1243</v>
      </c>
    </row>
    <row r="26" spans="1:7" ht="22.5" customHeight="1">
      <c r="A26" s="7" t="s">
        <v>202</v>
      </c>
      <c r="B26" s="7" t="s">
        <v>204</v>
      </c>
      <c r="C26" s="7" t="s">
        <v>1293</v>
      </c>
      <c r="D26" s="7" t="s">
        <v>1290</v>
      </c>
      <c r="E26" s="7" t="s">
        <v>1292</v>
      </c>
      <c r="F26" s="7" t="s">
        <v>835</v>
      </c>
      <c r="G26" s="7" t="s">
        <v>1254</v>
      </c>
    </row>
    <row r="27" spans="1:7" ht="22.5" customHeight="1">
      <c r="A27" s="7" t="s">
        <v>694</v>
      </c>
      <c r="B27" s="7" t="s">
        <v>872</v>
      </c>
      <c r="C27" s="7" t="s">
        <v>1294</v>
      </c>
      <c r="D27" s="7" t="s">
        <v>1295</v>
      </c>
      <c r="E27" s="7" t="s">
        <v>1296</v>
      </c>
      <c r="F27" s="7" t="s">
        <v>835</v>
      </c>
      <c r="G27" s="7" t="s">
        <v>1243</v>
      </c>
    </row>
    <row r="28" spans="1:7" ht="22.5" customHeight="1">
      <c r="A28" s="7" t="s">
        <v>791</v>
      </c>
      <c r="B28" s="7" t="s">
        <v>204</v>
      </c>
      <c r="C28" s="7" t="s">
        <v>1297</v>
      </c>
      <c r="D28" s="7" t="s">
        <v>1294</v>
      </c>
      <c r="E28" s="7" t="s">
        <v>1296</v>
      </c>
      <c r="F28" s="7" t="s">
        <v>835</v>
      </c>
      <c r="G28" s="7" t="s">
        <v>1243</v>
      </c>
    </row>
    <row r="29" spans="1:7" ht="22.5" customHeight="1">
      <c r="A29" s="7" t="s">
        <v>795</v>
      </c>
      <c r="B29" s="7" t="s">
        <v>204</v>
      </c>
      <c r="C29" s="7" t="s">
        <v>1298</v>
      </c>
      <c r="D29" s="7" t="s">
        <v>1294</v>
      </c>
      <c r="E29" s="7" t="s">
        <v>1296</v>
      </c>
      <c r="F29" s="7" t="s">
        <v>835</v>
      </c>
      <c r="G29" s="7" t="s">
        <v>1243</v>
      </c>
    </row>
    <row r="30" spans="1:7" ht="22.5" customHeight="1">
      <c r="A30" s="7" t="s">
        <v>226</v>
      </c>
      <c r="B30" s="7" t="s">
        <v>228</v>
      </c>
      <c r="C30" s="7" t="s">
        <v>1299</v>
      </c>
      <c r="D30" s="7" t="s">
        <v>1300</v>
      </c>
      <c r="E30" s="7" t="s">
        <v>1301</v>
      </c>
      <c r="F30" s="7" t="s">
        <v>916</v>
      </c>
      <c r="G30" s="7" t="s">
        <v>1254</v>
      </c>
    </row>
    <row r="31" spans="1:7" ht="22.5" customHeight="1">
      <c r="A31" s="7" t="s">
        <v>592</v>
      </c>
      <c r="B31" s="7" t="s">
        <v>814</v>
      </c>
      <c r="C31" s="7" t="s">
        <v>1248</v>
      </c>
      <c r="D31" s="7" t="s">
        <v>1302</v>
      </c>
      <c r="E31" s="7" t="s">
        <v>1250</v>
      </c>
      <c r="F31" s="7" t="s">
        <v>869</v>
      </c>
      <c r="G31" s="7" t="s">
        <v>1243</v>
      </c>
    </row>
    <row r="32" spans="1:7" ht="22.5" customHeight="1">
      <c r="A32" s="7" t="s">
        <v>728</v>
      </c>
      <c r="B32" s="7" t="s">
        <v>730</v>
      </c>
      <c r="C32" s="7" t="s">
        <v>1303</v>
      </c>
      <c r="D32" s="7" t="s">
        <v>1304</v>
      </c>
      <c r="E32" s="7" t="s">
        <v>1305</v>
      </c>
      <c r="F32" s="7" t="s">
        <v>860</v>
      </c>
      <c r="G32" s="7" t="s">
        <v>1254</v>
      </c>
    </row>
    <row r="33" spans="1:7" ht="22.5" customHeight="1">
      <c r="A33" s="7" t="s">
        <v>888</v>
      </c>
      <c r="B33" s="7" t="s">
        <v>191</v>
      </c>
      <c r="C33" s="7" t="s">
        <v>1306</v>
      </c>
      <c r="D33" s="7" t="s">
        <v>1307</v>
      </c>
      <c r="E33" s="7" t="s">
        <v>1308</v>
      </c>
      <c r="F33" s="7" t="s">
        <v>889</v>
      </c>
      <c r="G33" s="7" t="s">
        <v>1254</v>
      </c>
    </row>
    <row r="34" spans="1:7" ht="22.5" customHeight="1">
      <c r="A34" s="7" t="s">
        <v>900</v>
      </c>
      <c r="B34" s="7" t="s">
        <v>735</v>
      </c>
      <c r="C34" s="7" t="s">
        <v>1309</v>
      </c>
      <c r="D34" s="7" t="s">
        <v>1307</v>
      </c>
      <c r="E34" s="7" t="s">
        <v>1310</v>
      </c>
      <c r="F34" s="7" t="s">
        <v>889</v>
      </c>
      <c r="G34" s="7" t="s">
        <v>1254</v>
      </c>
    </row>
    <row r="35" spans="1:7" ht="22.5" customHeight="1">
      <c r="A35" s="7" t="s">
        <v>845</v>
      </c>
      <c r="B35" s="7" t="s">
        <v>296</v>
      </c>
      <c r="C35" s="7" t="s">
        <v>1311</v>
      </c>
      <c r="D35" s="7" t="s">
        <v>1312</v>
      </c>
      <c r="E35" s="7" t="s">
        <v>1313</v>
      </c>
      <c r="F35" s="7" t="s">
        <v>846</v>
      </c>
      <c r="G35" s="7" t="s">
        <v>1254</v>
      </c>
    </row>
    <row r="36" spans="1:7" ht="22.5" customHeight="1">
      <c r="A36" s="7" t="s">
        <v>767</v>
      </c>
      <c r="B36" s="7" t="s">
        <v>204</v>
      </c>
      <c r="C36" s="7" t="s">
        <v>1314</v>
      </c>
      <c r="D36" s="7" t="s">
        <v>1248</v>
      </c>
      <c r="E36" s="7" t="s">
        <v>1315</v>
      </c>
      <c r="F36" s="7" t="s">
        <v>866</v>
      </c>
      <c r="G36" s="7" t="s">
        <v>1243</v>
      </c>
    </row>
    <row r="37" spans="1:7" ht="22.5" customHeight="1">
      <c r="A37" s="7" t="s">
        <v>339</v>
      </c>
      <c r="B37" s="7" t="s">
        <v>865</v>
      </c>
      <c r="C37" s="7" t="s">
        <v>1316</v>
      </c>
      <c r="D37" s="7" t="s">
        <v>1314</v>
      </c>
      <c r="E37" s="7" t="s">
        <v>1317</v>
      </c>
      <c r="F37" s="7" t="s">
        <v>866</v>
      </c>
      <c r="G37" s="7" t="s">
        <v>1254</v>
      </c>
    </row>
    <row r="38" spans="1:7" ht="22.5" customHeight="1">
      <c r="A38" s="7" t="s">
        <v>328</v>
      </c>
      <c r="B38" s="7" t="s">
        <v>865</v>
      </c>
      <c r="C38" s="7" t="s">
        <v>1316</v>
      </c>
      <c r="D38" s="7" t="s">
        <v>1314</v>
      </c>
      <c r="E38" s="7" t="s">
        <v>1317</v>
      </c>
      <c r="F38" s="7" t="s">
        <v>866</v>
      </c>
      <c r="G38" s="7" t="s">
        <v>1254</v>
      </c>
    </row>
  </sheetData>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F145"/>
  <sheetViews>
    <sheetView workbookViewId="0"/>
  </sheetViews>
  <sheetFormatPr baseColWidth="10" defaultColWidth="12.6640625" defaultRowHeight="15.75" customHeight="1"/>
  <cols>
    <col min="1" max="1" width="49.5" customWidth="1"/>
    <col min="2" max="2" width="19.33203125" customWidth="1"/>
    <col min="3" max="3" width="20.1640625" customWidth="1"/>
    <col min="6" max="6" width="32.1640625" customWidth="1"/>
  </cols>
  <sheetData>
    <row r="1" spans="1:6" ht="15.75" customHeight="1">
      <c r="A1" s="26" t="s">
        <v>1318</v>
      </c>
      <c r="B1" s="26" t="s">
        <v>1319</v>
      </c>
      <c r="C1" s="26" t="s">
        <v>1320</v>
      </c>
      <c r="D1" s="26" t="s">
        <v>1321</v>
      </c>
      <c r="E1" s="26" t="s">
        <v>1322</v>
      </c>
      <c r="F1" s="26" t="s">
        <v>25</v>
      </c>
    </row>
    <row r="2" spans="1:6" ht="15.75" customHeight="1">
      <c r="A2" s="27" t="s">
        <v>152</v>
      </c>
      <c r="B2" s="27" t="s">
        <v>1323</v>
      </c>
      <c r="C2" s="27" t="s">
        <v>1324</v>
      </c>
      <c r="D2" s="27" t="s">
        <v>1325</v>
      </c>
      <c r="E2" s="27" t="s">
        <v>879</v>
      </c>
      <c r="F2" s="21" t="e">
        <f>VLOOKUP(A2,EduardoExtraction!B:E,4,)</f>
        <v>#N/A</v>
      </c>
    </row>
    <row r="3" spans="1:6" ht="15.75" customHeight="1">
      <c r="A3" s="27" t="s">
        <v>152</v>
      </c>
      <c r="B3" s="27" t="s">
        <v>1250</v>
      </c>
      <c r="C3" s="27" t="s">
        <v>1326</v>
      </c>
      <c r="D3" s="27" t="s">
        <v>1325</v>
      </c>
      <c r="E3" s="27" t="s">
        <v>879</v>
      </c>
      <c r="F3" s="21" t="e">
        <f>VLOOKUP(A3,EduardoExtraction!B:E,4,)</f>
        <v>#N/A</v>
      </c>
    </row>
    <row r="4" spans="1:6" ht="15.75" customHeight="1">
      <c r="A4" s="27" t="s">
        <v>152</v>
      </c>
      <c r="B4" s="27" t="s">
        <v>1327</v>
      </c>
      <c r="C4" s="27" t="s">
        <v>1326</v>
      </c>
      <c r="D4" s="27" t="s">
        <v>1325</v>
      </c>
      <c r="E4" s="27" t="s">
        <v>879</v>
      </c>
      <c r="F4" s="21" t="e">
        <f>VLOOKUP(A4,EduardoExtraction!B:E,4,)</f>
        <v>#N/A</v>
      </c>
    </row>
    <row r="5" spans="1:6" ht="15.75" customHeight="1">
      <c r="A5" s="27" t="s">
        <v>152</v>
      </c>
      <c r="B5" s="27" t="s">
        <v>1328</v>
      </c>
      <c r="C5" s="27" t="s">
        <v>1326</v>
      </c>
      <c r="D5" s="27" t="s">
        <v>1325</v>
      </c>
      <c r="E5" s="27" t="s">
        <v>879</v>
      </c>
      <c r="F5" s="21" t="e">
        <f>VLOOKUP(A5,EduardoExtraction!B:E,4,)</f>
        <v>#N/A</v>
      </c>
    </row>
    <row r="6" spans="1:6" ht="15.75" customHeight="1">
      <c r="A6" s="27" t="s">
        <v>152</v>
      </c>
      <c r="B6" s="27" t="s">
        <v>1329</v>
      </c>
      <c r="C6" s="27" t="s">
        <v>1330</v>
      </c>
      <c r="D6" s="27" t="s">
        <v>1325</v>
      </c>
      <c r="E6" s="27" t="s">
        <v>879</v>
      </c>
      <c r="F6" s="21" t="e">
        <f>VLOOKUP(A6,EduardoExtraction!B:E,4,)</f>
        <v>#N/A</v>
      </c>
    </row>
    <row r="7" spans="1:6" ht="15.75" customHeight="1">
      <c r="A7" s="27" t="s">
        <v>189</v>
      </c>
      <c r="B7" s="27" t="s">
        <v>1247</v>
      </c>
      <c r="C7" s="27" t="s">
        <v>1331</v>
      </c>
      <c r="D7" s="27" t="s">
        <v>1332</v>
      </c>
      <c r="E7" s="27" t="s">
        <v>1333</v>
      </c>
      <c r="F7" s="21" t="e">
        <f>VLOOKUP(A7,EduardoExtraction!B:E,4,)</f>
        <v>#N/A</v>
      </c>
    </row>
    <row r="8" spans="1:6" ht="15.75" customHeight="1">
      <c r="A8" s="27" t="s">
        <v>189</v>
      </c>
      <c r="B8" s="27" t="s">
        <v>1334</v>
      </c>
      <c r="C8" s="27" t="s">
        <v>1326</v>
      </c>
      <c r="D8" s="27" t="s">
        <v>1335</v>
      </c>
      <c r="E8" s="27" t="s">
        <v>1333</v>
      </c>
      <c r="F8" s="21" t="e">
        <f>VLOOKUP(A8,EduardoExtraction!B:E,4,)</f>
        <v>#N/A</v>
      </c>
    </row>
    <row r="9" spans="1:6" ht="15.75" customHeight="1">
      <c r="A9" s="27" t="s">
        <v>189</v>
      </c>
      <c r="B9" s="27" t="s">
        <v>1336</v>
      </c>
      <c r="C9" s="27" t="s">
        <v>1326</v>
      </c>
      <c r="D9" s="27" t="s">
        <v>1335</v>
      </c>
      <c r="E9" s="27" t="s">
        <v>1333</v>
      </c>
      <c r="F9" s="21" t="e">
        <f>VLOOKUP(A9,EduardoExtraction!B:E,4,)</f>
        <v>#N/A</v>
      </c>
    </row>
    <row r="10" spans="1:6" ht="15.75" customHeight="1">
      <c r="A10" s="27" t="s">
        <v>189</v>
      </c>
      <c r="B10" s="27" t="s">
        <v>1337</v>
      </c>
      <c r="C10" s="27" t="s">
        <v>1326</v>
      </c>
      <c r="D10" s="27" t="s">
        <v>1335</v>
      </c>
      <c r="E10" s="27" t="s">
        <v>1333</v>
      </c>
      <c r="F10" s="21" t="e">
        <f>VLOOKUP(A10,EduardoExtraction!B:E,4,)</f>
        <v>#N/A</v>
      </c>
    </row>
    <row r="11" spans="1:6" ht="15.75" customHeight="1">
      <c r="A11" s="27" t="s">
        <v>189</v>
      </c>
      <c r="B11" s="27" t="s">
        <v>1338</v>
      </c>
      <c r="C11" s="27" t="s">
        <v>1339</v>
      </c>
      <c r="D11" s="27" t="s">
        <v>1335</v>
      </c>
      <c r="E11" s="27" t="s">
        <v>1333</v>
      </c>
      <c r="F11" s="21" t="e">
        <f>VLOOKUP(A11,EduardoExtraction!B:E,4,)</f>
        <v>#N/A</v>
      </c>
    </row>
    <row r="12" spans="1:6" ht="15.75" customHeight="1">
      <c r="A12" s="27" t="s">
        <v>202</v>
      </c>
      <c r="B12" s="27" t="s">
        <v>1340</v>
      </c>
      <c r="C12" s="27" t="s">
        <v>1324</v>
      </c>
      <c r="D12" s="27" t="s">
        <v>1341</v>
      </c>
      <c r="E12" s="27" t="s">
        <v>835</v>
      </c>
      <c r="F12" s="21" t="e">
        <f>VLOOKUP(A12,EduardoExtraction!B:E,4,)</f>
        <v>#N/A</v>
      </c>
    </row>
    <row r="13" spans="1:6" ht="15.75" customHeight="1">
      <c r="A13" s="27" t="s">
        <v>202</v>
      </c>
      <c r="B13" s="27" t="s">
        <v>1342</v>
      </c>
      <c r="C13" s="27" t="s">
        <v>1326</v>
      </c>
      <c r="D13" s="27" t="s">
        <v>1341</v>
      </c>
      <c r="E13" s="27" t="s">
        <v>835</v>
      </c>
      <c r="F13" s="21" t="e">
        <f>VLOOKUP(A13,EduardoExtraction!B:E,4,)</f>
        <v>#N/A</v>
      </c>
    </row>
    <row r="14" spans="1:6" ht="15.75" customHeight="1">
      <c r="A14" s="27" t="s">
        <v>202</v>
      </c>
      <c r="B14" s="27" t="s">
        <v>1343</v>
      </c>
      <c r="C14" s="27" t="s">
        <v>1326</v>
      </c>
      <c r="D14" s="27" t="s">
        <v>1341</v>
      </c>
      <c r="E14" s="27" t="s">
        <v>835</v>
      </c>
      <c r="F14" s="21" t="e">
        <f>VLOOKUP(A14,EduardoExtraction!B:E,4,)</f>
        <v>#N/A</v>
      </c>
    </row>
    <row r="15" spans="1:6" ht="15.75" customHeight="1">
      <c r="A15" s="27" t="s">
        <v>202</v>
      </c>
      <c r="B15" s="27" t="s">
        <v>1344</v>
      </c>
      <c r="C15" s="27" t="s">
        <v>1326</v>
      </c>
      <c r="D15" s="27" t="s">
        <v>1341</v>
      </c>
      <c r="E15" s="27" t="s">
        <v>835</v>
      </c>
      <c r="F15" s="21" t="e">
        <f>VLOOKUP(A15,EduardoExtraction!B:E,4,)</f>
        <v>#N/A</v>
      </c>
    </row>
    <row r="16" spans="1:6" ht="15.75" customHeight="1">
      <c r="A16" s="27" t="s">
        <v>202</v>
      </c>
      <c r="B16" s="27" t="s">
        <v>1292</v>
      </c>
      <c r="C16" s="27" t="s">
        <v>1330</v>
      </c>
      <c r="D16" s="27" t="s">
        <v>1341</v>
      </c>
      <c r="E16" s="27" t="s">
        <v>835</v>
      </c>
      <c r="F16" s="21" t="e">
        <f>VLOOKUP(A16,EduardoExtraction!B:E,4,)</f>
        <v>#N/A</v>
      </c>
    </row>
    <row r="17" spans="1:6" ht="15.75" customHeight="1">
      <c r="A17" s="27" t="s">
        <v>226</v>
      </c>
      <c r="B17" s="27" t="s">
        <v>1301</v>
      </c>
      <c r="C17" s="27" t="s">
        <v>1331</v>
      </c>
      <c r="D17" s="27" t="s">
        <v>1345</v>
      </c>
      <c r="E17" s="27" t="s">
        <v>916</v>
      </c>
      <c r="F17" s="21" t="e">
        <f>VLOOKUP(A17,EduardoExtraction!B:E,4,)</f>
        <v>#N/A</v>
      </c>
    </row>
    <row r="18" spans="1:6" ht="15.75" customHeight="1">
      <c r="A18" s="27" t="s">
        <v>226</v>
      </c>
      <c r="B18" s="27" t="s">
        <v>1346</v>
      </c>
      <c r="C18" s="27" t="s">
        <v>1326</v>
      </c>
      <c r="D18" s="27" t="s">
        <v>1345</v>
      </c>
      <c r="E18" s="27" t="s">
        <v>916</v>
      </c>
      <c r="F18" s="21" t="e">
        <f>VLOOKUP(A18,EduardoExtraction!B:E,4,)</f>
        <v>#N/A</v>
      </c>
    </row>
    <row r="19" spans="1:6" ht="15.75" customHeight="1">
      <c r="A19" s="27" t="s">
        <v>226</v>
      </c>
      <c r="B19" s="27" t="s">
        <v>1347</v>
      </c>
      <c r="C19" s="27" t="s">
        <v>1326</v>
      </c>
      <c r="D19" s="27" t="s">
        <v>1345</v>
      </c>
      <c r="E19" s="27" t="s">
        <v>916</v>
      </c>
      <c r="F19" s="21" t="e">
        <f>VLOOKUP(A19,EduardoExtraction!B:E,4,)</f>
        <v>#N/A</v>
      </c>
    </row>
    <row r="20" spans="1:6" ht="15.75" customHeight="1">
      <c r="A20" s="27" t="s">
        <v>226</v>
      </c>
      <c r="B20" s="27" t="s">
        <v>1348</v>
      </c>
      <c r="C20" s="27" t="s">
        <v>1339</v>
      </c>
      <c r="D20" s="27" t="s">
        <v>1345</v>
      </c>
      <c r="E20" s="27" t="s">
        <v>916</v>
      </c>
      <c r="F20" s="21" t="e">
        <f>VLOOKUP(A20,EduardoExtraction!B:E,4,)</f>
        <v>#N/A</v>
      </c>
    </row>
    <row r="21" spans="1:6" ht="15.75" customHeight="1">
      <c r="A21" s="27" t="s">
        <v>888</v>
      </c>
      <c r="B21" s="27" t="s">
        <v>1308</v>
      </c>
      <c r="C21" s="27" t="s">
        <v>1349</v>
      </c>
      <c r="D21" s="27" t="s">
        <v>1350</v>
      </c>
      <c r="E21" s="27" t="s">
        <v>1351</v>
      </c>
      <c r="F21" s="21" t="e">
        <f>VLOOKUP(A21,EduardoExtraction!B:E,4,)</f>
        <v>#N/A</v>
      </c>
    </row>
    <row r="22" spans="1:6" ht="15.75" customHeight="1">
      <c r="A22" s="27" t="s">
        <v>258</v>
      </c>
      <c r="B22" s="27" t="s">
        <v>1268</v>
      </c>
      <c r="C22" s="27" t="s">
        <v>1331</v>
      </c>
      <c r="D22" s="27" t="s">
        <v>1352</v>
      </c>
      <c r="E22" s="27" t="s">
        <v>903</v>
      </c>
      <c r="F22" s="21" t="e">
        <f>VLOOKUP(A22,EduardoExtraction!B:E,4,)</f>
        <v>#N/A</v>
      </c>
    </row>
    <row r="23" spans="1:6" ht="15.75" customHeight="1">
      <c r="A23" s="27" t="s">
        <v>258</v>
      </c>
      <c r="B23" s="27" t="s">
        <v>1353</v>
      </c>
      <c r="C23" s="27" t="s">
        <v>1326</v>
      </c>
      <c r="D23" s="27" t="s">
        <v>1354</v>
      </c>
      <c r="E23" s="27" t="s">
        <v>903</v>
      </c>
      <c r="F23" s="21" t="e">
        <f>VLOOKUP(A23,EduardoExtraction!B:E,4,)</f>
        <v>#N/A</v>
      </c>
    </row>
    <row r="24" spans="1:6" ht="15.75" customHeight="1">
      <c r="A24" s="27" t="s">
        <v>258</v>
      </c>
      <c r="B24" s="27" t="s">
        <v>1355</v>
      </c>
      <c r="C24" s="27" t="s">
        <v>1339</v>
      </c>
      <c r="D24" s="27" t="s">
        <v>1356</v>
      </c>
      <c r="E24" s="27" t="s">
        <v>903</v>
      </c>
      <c r="F24" s="21" t="e">
        <f>VLOOKUP(A24,EduardoExtraction!B:E,4,)</f>
        <v>#N/A</v>
      </c>
    </row>
    <row r="25" spans="1:6" ht="15.75" customHeight="1">
      <c r="A25" s="27" t="s">
        <v>830</v>
      </c>
      <c r="B25" s="27" t="s">
        <v>1242</v>
      </c>
      <c r="C25" s="27" t="s">
        <v>1349</v>
      </c>
      <c r="D25" s="27" t="s">
        <v>1357</v>
      </c>
      <c r="E25" s="27" t="s">
        <v>1358</v>
      </c>
      <c r="F25" s="21" t="e">
        <f>VLOOKUP(A25,EduardoExtraction!B:E,4,)</f>
        <v>#N/A</v>
      </c>
    </row>
    <row r="26" spans="1:6" ht="15.75" customHeight="1">
      <c r="A26" s="27" t="s">
        <v>291</v>
      </c>
      <c r="B26" s="27" t="s">
        <v>1242</v>
      </c>
      <c r="C26" s="27" t="s">
        <v>1331</v>
      </c>
      <c r="D26" s="27" t="s">
        <v>1357</v>
      </c>
      <c r="E26" s="27" t="s">
        <v>831</v>
      </c>
      <c r="F26" s="21" t="e">
        <f>VLOOKUP(A26,EduardoExtraction!B:E,4,)</f>
        <v>#N/A</v>
      </c>
    </row>
    <row r="27" spans="1:6" ht="15.75" customHeight="1">
      <c r="A27" s="27" t="s">
        <v>291</v>
      </c>
      <c r="B27" s="27" t="s">
        <v>1359</v>
      </c>
      <c r="C27" s="27" t="s">
        <v>1326</v>
      </c>
      <c r="D27" s="27" t="s">
        <v>1357</v>
      </c>
      <c r="E27" s="27" t="s">
        <v>831</v>
      </c>
      <c r="F27" s="21" t="e">
        <f>VLOOKUP(A27,EduardoExtraction!B:E,4,)</f>
        <v>#N/A</v>
      </c>
    </row>
    <row r="28" spans="1:6" ht="15.75" customHeight="1">
      <c r="A28" s="27" t="s">
        <v>291</v>
      </c>
      <c r="B28" s="27" t="s">
        <v>1360</v>
      </c>
      <c r="C28" s="27" t="s">
        <v>1326</v>
      </c>
      <c r="D28" s="27" t="s">
        <v>1361</v>
      </c>
      <c r="E28" s="27" t="s">
        <v>831</v>
      </c>
      <c r="F28" s="21" t="e">
        <f>VLOOKUP(A28,EduardoExtraction!B:E,4,)</f>
        <v>#N/A</v>
      </c>
    </row>
    <row r="29" spans="1:6" ht="15.75" customHeight="1">
      <c r="A29" s="27" t="s">
        <v>291</v>
      </c>
      <c r="B29" s="27" t="s">
        <v>1362</v>
      </c>
      <c r="C29" s="27" t="s">
        <v>1326</v>
      </c>
      <c r="D29" s="27" t="s">
        <v>1363</v>
      </c>
      <c r="E29" s="27" t="s">
        <v>831</v>
      </c>
      <c r="F29" s="21" t="e">
        <f>VLOOKUP(A29,EduardoExtraction!B:E,4,)</f>
        <v>#N/A</v>
      </c>
    </row>
    <row r="30" spans="1:6" ht="15.75" customHeight="1">
      <c r="A30" s="27" t="s">
        <v>291</v>
      </c>
      <c r="B30" s="27" t="s">
        <v>1364</v>
      </c>
      <c r="C30" s="27" t="s">
        <v>1326</v>
      </c>
      <c r="D30" s="27" t="s">
        <v>1361</v>
      </c>
      <c r="E30" s="27" t="s">
        <v>831</v>
      </c>
      <c r="F30" s="21" t="e">
        <f>VLOOKUP(A30,EduardoExtraction!B:E,4,)</f>
        <v>#N/A</v>
      </c>
    </row>
    <row r="31" spans="1:6" ht="15.75" customHeight="1">
      <c r="A31" s="27" t="s">
        <v>291</v>
      </c>
      <c r="B31" s="27" t="s">
        <v>1365</v>
      </c>
      <c r="C31" s="27" t="s">
        <v>1339</v>
      </c>
      <c r="D31" s="27" t="s">
        <v>1357</v>
      </c>
      <c r="E31" s="27" t="s">
        <v>831</v>
      </c>
      <c r="F31" s="21" t="e">
        <f>VLOOKUP(A31,EduardoExtraction!B:E,4,)</f>
        <v>#N/A</v>
      </c>
    </row>
    <row r="32" spans="1:6" ht="15.75" customHeight="1">
      <c r="A32" s="27" t="s">
        <v>845</v>
      </c>
      <c r="B32" s="27" t="s">
        <v>1313</v>
      </c>
      <c r="C32" s="27" t="s">
        <v>1349</v>
      </c>
      <c r="D32" s="27" t="s">
        <v>1366</v>
      </c>
      <c r="E32" s="27" t="s">
        <v>1367</v>
      </c>
      <c r="F32" s="21" t="e">
        <f>VLOOKUP(A32,EduardoExtraction!B:E,4,)</f>
        <v>#N/A</v>
      </c>
    </row>
    <row r="33" spans="1:6" ht="15.75" customHeight="1">
      <c r="A33" s="27" t="s">
        <v>305</v>
      </c>
      <c r="B33" s="27" t="s">
        <v>1274</v>
      </c>
      <c r="C33" s="27" t="s">
        <v>1331</v>
      </c>
      <c r="D33" s="27" t="s">
        <v>1368</v>
      </c>
      <c r="E33" s="27" t="s">
        <v>1369</v>
      </c>
      <c r="F33" s="21" t="e">
        <f>VLOOKUP(A33,EduardoExtraction!B:E,4,)</f>
        <v>#N/A</v>
      </c>
    </row>
    <row r="34" spans="1:6" ht="15.75" customHeight="1">
      <c r="A34" s="27" t="s">
        <v>305</v>
      </c>
      <c r="B34" s="27" t="s">
        <v>1370</v>
      </c>
      <c r="C34" s="27" t="s">
        <v>1326</v>
      </c>
      <c r="D34" s="27" t="s">
        <v>1371</v>
      </c>
      <c r="E34" s="27" t="s">
        <v>1369</v>
      </c>
      <c r="F34" s="21" t="e">
        <f>VLOOKUP(A34,EduardoExtraction!B:E,4,)</f>
        <v>#N/A</v>
      </c>
    </row>
    <row r="35" spans="1:6" ht="15.75" customHeight="1">
      <c r="A35" s="27" t="s">
        <v>305</v>
      </c>
      <c r="B35" s="27" t="s">
        <v>1372</v>
      </c>
      <c r="C35" s="27" t="s">
        <v>1326</v>
      </c>
      <c r="D35" s="27" t="s">
        <v>1368</v>
      </c>
      <c r="E35" s="27" t="s">
        <v>1369</v>
      </c>
      <c r="F35" s="21" t="e">
        <f>VLOOKUP(A35,EduardoExtraction!B:E,4,)</f>
        <v>#N/A</v>
      </c>
    </row>
    <row r="36" spans="1:6" ht="15.75" customHeight="1">
      <c r="A36" s="27" t="s">
        <v>305</v>
      </c>
      <c r="B36" s="27" t="s">
        <v>1373</v>
      </c>
      <c r="C36" s="27" t="s">
        <v>1326</v>
      </c>
      <c r="D36" s="27" t="s">
        <v>1368</v>
      </c>
      <c r="E36" s="27" t="s">
        <v>1369</v>
      </c>
      <c r="F36" s="21" t="e">
        <f>VLOOKUP(A36,EduardoExtraction!B:E,4,)</f>
        <v>#N/A</v>
      </c>
    </row>
    <row r="37" spans="1:6" ht="15.75" customHeight="1">
      <c r="A37" s="27" t="s">
        <v>305</v>
      </c>
      <c r="B37" s="27" t="s">
        <v>1374</v>
      </c>
      <c r="C37" s="27" t="s">
        <v>1326</v>
      </c>
      <c r="D37" s="27" t="s">
        <v>1368</v>
      </c>
      <c r="E37" s="27" t="s">
        <v>1369</v>
      </c>
      <c r="F37" s="21" t="e">
        <f>VLOOKUP(A37,EduardoExtraction!B:E,4,)</f>
        <v>#N/A</v>
      </c>
    </row>
    <row r="38" spans="1:6" ht="15.75" customHeight="1">
      <c r="A38" s="27" t="s">
        <v>305</v>
      </c>
      <c r="B38" s="27" t="s">
        <v>1375</v>
      </c>
      <c r="C38" s="27" t="s">
        <v>1339</v>
      </c>
      <c r="D38" s="27" t="s">
        <v>1376</v>
      </c>
      <c r="E38" s="27" t="s">
        <v>1369</v>
      </c>
      <c r="F38" s="21" t="e">
        <f>VLOOKUP(A38,EduardoExtraction!B:E,4,)</f>
        <v>#N/A</v>
      </c>
    </row>
    <row r="39" spans="1:6" ht="15.75" customHeight="1">
      <c r="A39" s="27" t="s">
        <v>317</v>
      </c>
      <c r="B39" s="27" t="s">
        <v>1274</v>
      </c>
      <c r="C39" s="27" t="s">
        <v>1324</v>
      </c>
      <c r="D39" s="27" t="s">
        <v>1368</v>
      </c>
      <c r="E39" s="27" t="s">
        <v>1369</v>
      </c>
      <c r="F39" s="21" t="e">
        <f>VLOOKUP(A39,EduardoExtraction!B:E,4,)</f>
        <v>#N/A</v>
      </c>
    </row>
    <row r="40" spans="1:6" ht="15.75" customHeight="1">
      <c r="A40" s="27" t="s">
        <v>317</v>
      </c>
      <c r="B40" s="27" t="s">
        <v>1373</v>
      </c>
      <c r="C40" s="27" t="s">
        <v>1326</v>
      </c>
      <c r="D40" s="27" t="s">
        <v>1368</v>
      </c>
      <c r="E40" s="27" t="s">
        <v>1369</v>
      </c>
      <c r="F40" s="21" t="e">
        <f>VLOOKUP(A40,EduardoExtraction!B:E,4,)</f>
        <v>#N/A</v>
      </c>
    </row>
    <row r="41" spans="1:6" ht="15.75" customHeight="1">
      <c r="A41" s="27" t="s">
        <v>317</v>
      </c>
      <c r="B41" s="27" t="s">
        <v>1374</v>
      </c>
      <c r="C41" s="27" t="s">
        <v>1326</v>
      </c>
      <c r="D41" s="27" t="s">
        <v>1368</v>
      </c>
      <c r="E41" s="27" t="s">
        <v>1369</v>
      </c>
      <c r="F41" s="21" t="e">
        <f>VLOOKUP(A41,EduardoExtraction!B:E,4,)</f>
        <v>#N/A</v>
      </c>
    </row>
    <row r="42" spans="1:6" ht="15.75" customHeight="1">
      <c r="A42" s="27" t="s">
        <v>317</v>
      </c>
      <c r="B42" s="27" t="s">
        <v>1375</v>
      </c>
      <c r="C42" s="27" t="s">
        <v>1330</v>
      </c>
      <c r="D42" s="27" t="s">
        <v>1376</v>
      </c>
      <c r="E42" s="27" t="s">
        <v>1369</v>
      </c>
      <c r="F42" s="21" t="e">
        <f>VLOOKUP(A42,EduardoExtraction!B:E,4,)</f>
        <v>#N/A</v>
      </c>
    </row>
    <row r="43" spans="1:6" ht="15.75" customHeight="1">
      <c r="A43" s="27" t="s">
        <v>328</v>
      </c>
      <c r="B43" s="27" t="s">
        <v>1317</v>
      </c>
      <c r="C43" s="27" t="s">
        <v>1331</v>
      </c>
      <c r="D43" s="27" t="s">
        <v>1377</v>
      </c>
      <c r="E43" s="27" t="s">
        <v>866</v>
      </c>
      <c r="F43" s="21" t="e">
        <f>VLOOKUP(A43,EduardoExtraction!B:E,4,)</f>
        <v>#N/A</v>
      </c>
    </row>
    <row r="44" spans="1:6" ht="15.75" customHeight="1">
      <c r="A44" s="27" t="s">
        <v>328</v>
      </c>
      <c r="B44" s="27" t="s">
        <v>1378</v>
      </c>
      <c r="C44" s="27" t="s">
        <v>1326</v>
      </c>
      <c r="D44" s="27" t="s">
        <v>1377</v>
      </c>
      <c r="E44" s="27" t="s">
        <v>866</v>
      </c>
      <c r="F44" s="21" t="e">
        <f>VLOOKUP(A44,EduardoExtraction!B:E,4,)</f>
        <v>#N/A</v>
      </c>
    </row>
    <row r="45" spans="1:6" ht="15.75" customHeight="1">
      <c r="A45" s="27" t="s">
        <v>328</v>
      </c>
      <c r="B45" s="27" t="s">
        <v>1315</v>
      </c>
      <c r="C45" s="27" t="s">
        <v>1339</v>
      </c>
      <c r="D45" s="27" t="s">
        <v>1377</v>
      </c>
      <c r="E45" s="27" t="s">
        <v>866</v>
      </c>
      <c r="F45" s="21" t="e">
        <f>VLOOKUP(A45,EduardoExtraction!B:E,4,)</f>
        <v>#N/A</v>
      </c>
    </row>
    <row r="46" spans="1:6" ht="15.75" customHeight="1">
      <c r="A46" s="27" t="s">
        <v>339</v>
      </c>
      <c r="B46" s="27" t="s">
        <v>1317</v>
      </c>
      <c r="C46" s="27" t="s">
        <v>1331</v>
      </c>
      <c r="D46" s="27" t="s">
        <v>1377</v>
      </c>
      <c r="E46" s="27" t="s">
        <v>866</v>
      </c>
      <c r="F46" s="21" t="e">
        <f>VLOOKUP(A46,EduardoExtraction!B:E,4,)</f>
        <v>#N/A</v>
      </c>
    </row>
    <row r="47" spans="1:6" ht="15.75" customHeight="1">
      <c r="A47" s="27" t="s">
        <v>339</v>
      </c>
      <c r="B47" s="27" t="s">
        <v>1379</v>
      </c>
      <c r="C47" s="27" t="s">
        <v>1326</v>
      </c>
      <c r="D47" s="27" t="s">
        <v>1377</v>
      </c>
      <c r="E47" s="27" t="s">
        <v>866</v>
      </c>
      <c r="F47" s="21" t="e">
        <f>VLOOKUP(A47,EduardoExtraction!B:E,4,)</f>
        <v>#N/A</v>
      </c>
    </row>
    <row r="48" spans="1:6" ht="15.75" customHeight="1">
      <c r="A48" s="27" t="s">
        <v>339</v>
      </c>
      <c r="B48" s="27" t="s">
        <v>1315</v>
      </c>
      <c r="C48" s="27" t="s">
        <v>1339</v>
      </c>
      <c r="D48" s="27" t="s">
        <v>1377</v>
      </c>
      <c r="E48" s="27" t="s">
        <v>866</v>
      </c>
      <c r="F48" s="21" t="e">
        <f>VLOOKUP(A48,EduardoExtraction!B:E,4,)</f>
        <v>#N/A</v>
      </c>
    </row>
    <row r="49" spans="1:6" ht="15.75" customHeight="1">
      <c r="A49" s="27" t="s">
        <v>354</v>
      </c>
      <c r="B49" s="27" t="s">
        <v>1380</v>
      </c>
      <c r="C49" s="27" t="s">
        <v>1324</v>
      </c>
      <c r="D49" s="27" t="s">
        <v>1381</v>
      </c>
      <c r="E49" s="27" t="s">
        <v>911</v>
      </c>
      <c r="F49" s="21" t="e">
        <f>VLOOKUP(A49,EduardoExtraction!B:E,4,)</f>
        <v>#N/A</v>
      </c>
    </row>
    <row r="50" spans="1:6" ht="15.75" customHeight="1">
      <c r="A50" s="27" t="s">
        <v>354</v>
      </c>
      <c r="B50" s="27" t="s">
        <v>1271</v>
      </c>
      <c r="C50" s="27" t="s">
        <v>1330</v>
      </c>
      <c r="D50" s="27" t="s">
        <v>1381</v>
      </c>
      <c r="E50" s="27" t="s">
        <v>911</v>
      </c>
      <c r="F50" s="21" t="e">
        <f>VLOOKUP(A50,EduardoExtraction!B:E,4,)</f>
        <v>#N/A</v>
      </c>
    </row>
    <row r="51" spans="1:6" ht="15.75" customHeight="1">
      <c r="A51" s="27" t="s">
        <v>387</v>
      </c>
      <c r="B51" s="27" t="s">
        <v>1282</v>
      </c>
      <c r="C51" s="27" t="s">
        <v>1349</v>
      </c>
      <c r="D51" s="27" t="s">
        <v>1382</v>
      </c>
      <c r="E51" s="27" t="s">
        <v>850</v>
      </c>
      <c r="F51" s="21" t="e">
        <f>VLOOKUP(A51,EduardoExtraction!B:E,4,)</f>
        <v>#N/A</v>
      </c>
    </row>
    <row r="52" spans="1:6" ht="15.75" customHeight="1">
      <c r="A52" s="27" t="s">
        <v>403</v>
      </c>
      <c r="B52" s="27" t="s">
        <v>1284</v>
      </c>
      <c r="C52" s="27" t="s">
        <v>1349</v>
      </c>
      <c r="D52" s="27" t="s">
        <v>1382</v>
      </c>
      <c r="E52" s="27" t="s">
        <v>850</v>
      </c>
      <c r="F52" s="21" t="e">
        <f>VLOOKUP(A52,EduardoExtraction!B:E,4,)</f>
        <v>#N/A</v>
      </c>
    </row>
    <row r="53" spans="1:6" ht="15.75" customHeight="1">
      <c r="A53" s="27" t="s">
        <v>884</v>
      </c>
      <c r="B53" s="27" t="s">
        <v>1289</v>
      </c>
      <c r="C53" s="27" t="s">
        <v>1324</v>
      </c>
      <c r="D53" s="27" t="s">
        <v>1383</v>
      </c>
      <c r="E53" s="27" t="s">
        <v>885</v>
      </c>
      <c r="F53" s="21" t="e">
        <f>VLOOKUP(A53,EduardoExtraction!B:E,4,)</f>
        <v>#N/A</v>
      </c>
    </row>
    <row r="54" spans="1:6" ht="15.75" customHeight="1">
      <c r="A54" s="27" t="s">
        <v>884</v>
      </c>
      <c r="B54" s="27" t="s">
        <v>1384</v>
      </c>
      <c r="C54" s="27" t="s">
        <v>1339</v>
      </c>
      <c r="D54" s="27" t="s">
        <v>1383</v>
      </c>
      <c r="E54" s="27" t="s">
        <v>885</v>
      </c>
      <c r="F54" s="21" t="e">
        <f>VLOOKUP(A54,EduardoExtraction!B:E,4,)</f>
        <v>#N/A</v>
      </c>
    </row>
    <row r="55" spans="1:6" ht="15.75" customHeight="1">
      <c r="A55" s="27" t="s">
        <v>895</v>
      </c>
      <c r="B55" s="27" t="s">
        <v>1259</v>
      </c>
      <c r="C55" s="27" t="s">
        <v>1324</v>
      </c>
      <c r="D55" s="27" t="s">
        <v>1385</v>
      </c>
      <c r="E55" s="27" t="s">
        <v>858</v>
      </c>
      <c r="F55" s="21" t="e">
        <f>VLOOKUP(A55,EduardoExtraction!B:E,4,)</f>
        <v>#N/A</v>
      </c>
    </row>
    <row r="56" spans="1:6" ht="13">
      <c r="A56" s="27" t="s">
        <v>895</v>
      </c>
      <c r="B56" s="27" t="s">
        <v>1257</v>
      </c>
      <c r="C56" s="27" t="s">
        <v>1339</v>
      </c>
      <c r="D56" s="27" t="s">
        <v>1385</v>
      </c>
      <c r="E56" s="27" t="s">
        <v>858</v>
      </c>
      <c r="F56" s="21" t="e">
        <f>VLOOKUP(A56,EduardoExtraction!B:E,4,)</f>
        <v>#N/A</v>
      </c>
    </row>
    <row r="57" spans="1:6" ht="13">
      <c r="A57" s="27" t="s">
        <v>469</v>
      </c>
      <c r="B57" s="27" t="s">
        <v>1386</v>
      </c>
      <c r="C57" s="27" t="s">
        <v>1324</v>
      </c>
      <c r="D57" s="27" t="s">
        <v>1387</v>
      </c>
      <c r="E57" s="27" t="s">
        <v>841</v>
      </c>
      <c r="F57" s="21" t="e">
        <f>VLOOKUP(A57,EduardoExtraction!B:E,4,)</f>
        <v>#N/A</v>
      </c>
    </row>
    <row r="58" spans="1:6" ht="13">
      <c r="A58" s="27" t="s">
        <v>469</v>
      </c>
      <c r="B58" s="27" t="s">
        <v>1388</v>
      </c>
      <c r="C58" s="27" t="s">
        <v>1326</v>
      </c>
      <c r="D58" s="27" t="s">
        <v>1387</v>
      </c>
      <c r="E58" s="27" t="s">
        <v>841</v>
      </c>
      <c r="F58" s="21" t="e">
        <f>VLOOKUP(A58,EduardoExtraction!B:E,4,)</f>
        <v>#N/A</v>
      </c>
    </row>
    <row r="59" spans="1:6" ht="13">
      <c r="A59" s="27" t="s">
        <v>469</v>
      </c>
      <c r="B59" s="27" t="s">
        <v>1389</v>
      </c>
      <c r="C59" s="27" t="s">
        <v>1326</v>
      </c>
      <c r="D59" s="27" t="s">
        <v>1387</v>
      </c>
      <c r="E59" s="27" t="s">
        <v>841</v>
      </c>
      <c r="F59" s="21" t="e">
        <f>VLOOKUP(A59,EduardoExtraction!B:E,4,)</f>
        <v>#N/A</v>
      </c>
    </row>
    <row r="60" spans="1:6" ht="13">
      <c r="A60" s="27" t="s">
        <v>469</v>
      </c>
      <c r="B60" s="27" t="s">
        <v>1390</v>
      </c>
      <c r="C60" s="27" t="s">
        <v>1326</v>
      </c>
      <c r="D60" s="27" t="s">
        <v>1391</v>
      </c>
      <c r="E60" s="27" t="s">
        <v>841</v>
      </c>
      <c r="F60" s="21" t="e">
        <f>VLOOKUP(A60,EduardoExtraction!B:E,4,)</f>
        <v>#N/A</v>
      </c>
    </row>
    <row r="61" spans="1:6" ht="13">
      <c r="A61" s="27" t="s">
        <v>469</v>
      </c>
      <c r="B61" s="27" t="s">
        <v>1392</v>
      </c>
      <c r="C61" s="27" t="s">
        <v>1326</v>
      </c>
      <c r="D61" s="27" t="s">
        <v>1387</v>
      </c>
      <c r="E61" s="27" t="s">
        <v>841</v>
      </c>
      <c r="F61" s="21" t="e">
        <f>VLOOKUP(A61,EduardoExtraction!B:E,4,)</f>
        <v>#N/A</v>
      </c>
    </row>
    <row r="62" spans="1:6" ht="13">
      <c r="A62" s="27" t="s">
        <v>469</v>
      </c>
      <c r="B62" s="27" t="s">
        <v>1280</v>
      </c>
      <c r="C62" s="27" t="s">
        <v>1330</v>
      </c>
      <c r="D62" s="27" t="s">
        <v>1387</v>
      </c>
      <c r="E62" s="27" t="s">
        <v>841</v>
      </c>
      <c r="F62" s="21" t="e">
        <f>VLOOKUP(A62,EduardoExtraction!B:E,4,)</f>
        <v>#N/A</v>
      </c>
    </row>
    <row r="63" spans="1:6" ht="13">
      <c r="A63" s="27" t="s">
        <v>511</v>
      </c>
      <c r="B63" s="27" t="s">
        <v>1277</v>
      </c>
      <c r="C63" s="27" t="s">
        <v>1324</v>
      </c>
      <c r="D63" s="27" t="s">
        <v>1393</v>
      </c>
      <c r="E63" s="27" t="s">
        <v>926</v>
      </c>
      <c r="F63" s="21" t="e">
        <f>VLOOKUP(A63,EduardoExtraction!B:E,4,)</f>
        <v>#N/A</v>
      </c>
    </row>
    <row r="64" spans="1:6" ht="13">
      <c r="A64" s="27" t="s">
        <v>511</v>
      </c>
      <c r="B64" s="27" t="s">
        <v>1394</v>
      </c>
      <c r="C64" s="27" t="s">
        <v>1326</v>
      </c>
      <c r="D64" s="27" t="s">
        <v>1393</v>
      </c>
      <c r="E64" s="27" t="s">
        <v>926</v>
      </c>
      <c r="F64" s="21" t="e">
        <f>VLOOKUP(A64,EduardoExtraction!B:E,4,)</f>
        <v>#N/A</v>
      </c>
    </row>
    <row r="65" spans="1:6" ht="13">
      <c r="A65" s="27" t="s">
        <v>511</v>
      </c>
      <c r="B65" s="27" t="s">
        <v>1395</v>
      </c>
      <c r="C65" s="27" t="s">
        <v>1339</v>
      </c>
      <c r="D65" s="27" t="s">
        <v>1393</v>
      </c>
      <c r="E65" s="27" t="s">
        <v>926</v>
      </c>
      <c r="F65" s="21" t="e">
        <f>VLOOKUP(A65,EduardoExtraction!B:E,4,)</f>
        <v>#N/A</v>
      </c>
    </row>
    <row r="66" spans="1:6" ht="13">
      <c r="A66" s="27" t="s">
        <v>539</v>
      </c>
      <c r="B66" s="27" t="s">
        <v>1250</v>
      </c>
      <c r="C66" s="27" t="s">
        <v>1331</v>
      </c>
      <c r="D66" s="27" t="s">
        <v>1325</v>
      </c>
      <c r="E66" s="27" t="s">
        <v>879</v>
      </c>
      <c r="F66" s="21" t="e">
        <f>VLOOKUP(A66,EduardoExtraction!B:E,4,)</f>
        <v>#N/A</v>
      </c>
    </row>
    <row r="67" spans="1:6" ht="13">
      <c r="A67" s="27" t="s">
        <v>539</v>
      </c>
      <c r="B67" s="27" t="s">
        <v>1396</v>
      </c>
      <c r="C67" s="27" t="s">
        <v>1326</v>
      </c>
      <c r="D67" s="27" t="s">
        <v>1325</v>
      </c>
      <c r="E67" s="27" t="s">
        <v>879</v>
      </c>
      <c r="F67" s="21" t="e">
        <f>VLOOKUP(A67,EduardoExtraction!B:E,4,)</f>
        <v>#N/A</v>
      </c>
    </row>
    <row r="68" spans="1:6" ht="13">
      <c r="A68" s="27" t="s">
        <v>539</v>
      </c>
      <c r="B68" s="27" t="s">
        <v>1397</v>
      </c>
      <c r="C68" s="27" t="s">
        <v>1326</v>
      </c>
      <c r="D68" s="27" t="s">
        <v>1325</v>
      </c>
      <c r="E68" s="27" t="s">
        <v>879</v>
      </c>
      <c r="F68" s="21" t="e">
        <f>VLOOKUP(A68,EduardoExtraction!B:E,4,)</f>
        <v>#N/A</v>
      </c>
    </row>
    <row r="69" spans="1:6" ht="13">
      <c r="A69" s="27" t="s">
        <v>539</v>
      </c>
      <c r="B69" s="27" t="s">
        <v>1398</v>
      </c>
      <c r="C69" s="27" t="s">
        <v>1326</v>
      </c>
      <c r="D69" s="27" t="s">
        <v>1325</v>
      </c>
      <c r="E69" s="27" t="s">
        <v>879</v>
      </c>
      <c r="F69" s="21" t="e">
        <f>VLOOKUP(A69,EduardoExtraction!B:E,4,)</f>
        <v>#N/A</v>
      </c>
    </row>
    <row r="70" spans="1:6" ht="13">
      <c r="A70" s="27" t="s">
        <v>539</v>
      </c>
      <c r="B70" s="27" t="s">
        <v>1328</v>
      </c>
      <c r="C70" s="27" t="s">
        <v>1326</v>
      </c>
      <c r="D70" s="27" t="s">
        <v>1325</v>
      </c>
      <c r="E70" s="27" t="s">
        <v>879</v>
      </c>
      <c r="F70" s="21" t="e">
        <f>VLOOKUP(A70,EduardoExtraction!B:E,4,)</f>
        <v>#N/A</v>
      </c>
    </row>
    <row r="71" spans="1:6" ht="13">
      <c r="A71" s="27" t="s">
        <v>539</v>
      </c>
      <c r="B71" s="27" t="s">
        <v>1329</v>
      </c>
      <c r="C71" s="27" t="s">
        <v>1339</v>
      </c>
      <c r="D71" s="27" t="s">
        <v>1325</v>
      </c>
      <c r="E71" s="27" t="s">
        <v>879</v>
      </c>
      <c r="F71" s="21" t="e">
        <f>VLOOKUP(A71,EduardoExtraction!B:E,4,)</f>
        <v>#N/A</v>
      </c>
    </row>
    <row r="72" spans="1:6" ht="13">
      <c r="A72" s="27" t="s">
        <v>566</v>
      </c>
      <c r="B72" s="27" t="s">
        <v>1250</v>
      </c>
      <c r="C72" s="27" t="s">
        <v>1324</v>
      </c>
      <c r="D72" s="27" t="s">
        <v>1325</v>
      </c>
      <c r="E72" s="27" t="s">
        <v>914</v>
      </c>
      <c r="F72" s="21" t="e">
        <f>VLOOKUP(A72,EduardoExtraction!B:E,4,)</f>
        <v>#N/A</v>
      </c>
    </row>
    <row r="73" spans="1:6" ht="13">
      <c r="A73" s="27" t="s">
        <v>566</v>
      </c>
      <c r="B73" s="27" t="s">
        <v>1399</v>
      </c>
      <c r="C73" s="27" t="s">
        <v>1326</v>
      </c>
      <c r="D73" s="27" t="s">
        <v>1325</v>
      </c>
      <c r="E73" s="27" t="s">
        <v>914</v>
      </c>
      <c r="F73" s="21" t="e">
        <f>VLOOKUP(A73,EduardoExtraction!B:E,4,)</f>
        <v>#N/A</v>
      </c>
    </row>
    <row r="74" spans="1:6" ht="13">
      <c r="A74" s="27" t="s">
        <v>566</v>
      </c>
      <c r="B74" s="27" t="s">
        <v>1400</v>
      </c>
      <c r="C74" s="27" t="s">
        <v>1326</v>
      </c>
      <c r="D74" s="27" t="s">
        <v>1325</v>
      </c>
      <c r="E74" s="27" t="s">
        <v>914</v>
      </c>
      <c r="F74" s="21" t="e">
        <f>VLOOKUP(A74,EduardoExtraction!B:E,4,)</f>
        <v>#N/A</v>
      </c>
    </row>
    <row r="75" spans="1:6" ht="13">
      <c r="A75" s="27" t="s">
        <v>566</v>
      </c>
      <c r="B75" s="27" t="s">
        <v>1401</v>
      </c>
      <c r="C75" s="27" t="s">
        <v>1326</v>
      </c>
      <c r="D75" s="27" t="s">
        <v>1325</v>
      </c>
      <c r="E75" s="27" t="s">
        <v>914</v>
      </c>
      <c r="F75" s="21" t="e">
        <f>VLOOKUP(A75,EduardoExtraction!B:E,4,)</f>
        <v>#N/A</v>
      </c>
    </row>
    <row r="76" spans="1:6" ht="13">
      <c r="A76" s="27" t="s">
        <v>566</v>
      </c>
      <c r="B76" s="27" t="s">
        <v>1402</v>
      </c>
      <c r="C76" s="27" t="s">
        <v>1326</v>
      </c>
      <c r="D76" s="27" t="s">
        <v>1325</v>
      </c>
      <c r="E76" s="27" t="s">
        <v>914</v>
      </c>
      <c r="F76" s="21" t="e">
        <f>VLOOKUP(A76,EduardoExtraction!B:E,4,)</f>
        <v>#N/A</v>
      </c>
    </row>
    <row r="77" spans="1:6" ht="13">
      <c r="A77" s="27" t="s">
        <v>566</v>
      </c>
      <c r="B77" s="27" t="s">
        <v>1403</v>
      </c>
      <c r="C77" s="27" t="s">
        <v>1326</v>
      </c>
      <c r="D77" s="27" t="s">
        <v>1325</v>
      </c>
      <c r="E77" s="27" t="s">
        <v>914</v>
      </c>
      <c r="F77" s="21" t="e">
        <f>VLOOKUP(A77,EduardoExtraction!B:E,4,)</f>
        <v>#N/A</v>
      </c>
    </row>
    <row r="78" spans="1:6" ht="13">
      <c r="A78" s="27" t="s">
        <v>566</v>
      </c>
      <c r="B78" s="27" t="s">
        <v>1404</v>
      </c>
      <c r="C78" s="27" t="s">
        <v>1326</v>
      </c>
      <c r="D78" s="27" t="s">
        <v>1325</v>
      </c>
      <c r="E78" s="27" t="s">
        <v>914</v>
      </c>
      <c r="F78" s="21" t="e">
        <f>VLOOKUP(A78,EduardoExtraction!B:E,4,)</f>
        <v>#N/A</v>
      </c>
    </row>
    <row r="79" spans="1:6" ht="13">
      <c r="A79" s="27" t="s">
        <v>566</v>
      </c>
      <c r="B79" s="27" t="s">
        <v>1328</v>
      </c>
      <c r="C79" s="27" t="s">
        <v>1330</v>
      </c>
      <c r="D79" s="27" t="s">
        <v>1325</v>
      </c>
      <c r="E79" s="27" t="s">
        <v>914</v>
      </c>
      <c r="F79" s="21" t="e">
        <f>VLOOKUP(A79,EduardoExtraction!B:E,4,)</f>
        <v>#N/A</v>
      </c>
    </row>
    <row r="80" spans="1:6" ht="13">
      <c r="A80" s="27" t="s">
        <v>582</v>
      </c>
      <c r="B80" s="27" t="s">
        <v>1250</v>
      </c>
      <c r="C80" s="27" t="s">
        <v>1331</v>
      </c>
      <c r="D80" s="27" t="s">
        <v>1325</v>
      </c>
      <c r="E80" s="27" t="s">
        <v>879</v>
      </c>
      <c r="F80" s="21" t="e">
        <f>VLOOKUP(A80,EduardoExtraction!B:E,4,)</f>
        <v>#N/A</v>
      </c>
    </row>
    <row r="81" spans="1:6" ht="13">
      <c r="A81" s="27" t="s">
        <v>582</v>
      </c>
      <c r="B81" s="27" t="s">
        <v>1396</v>
      </c>
      <c r="C81" s="27" t="s">
        <v>1326</v>
      </c>
      <c r="D81" s="27" t="s">
        <v>1325</v>
      </c>
      <c r="E81" s="27" t="s">
        <v>879</v>
      </c>
      <c r="F81" s="21" t="e">
        <f>VLOOKUP(A81,EduardoExtraction!B:E,4,)</f>
        <v>#N/A</v>
      </c>
    </row>
    <row r="82" spans="1:6" ht="13">
      <c r="A82" s="27" t="s">
        <v>582</v>
      </c>
      <c r="B82" s="27" t="s">
        <v>1405</v>
      </c>
      <c r="C82" s="27" t="s">
        <v>1326</v>
      </c>
      <c r="D82" s="27" t="s">
        <v>1325</v>
      </c>
      <c r="E82" s="27" t="s">
        <v>879</v>
      </c>
      <c r="F82" s="21" t="e">
        <f>VLOOKUP(A82,EduardoExtraction!B:E,4,)</f>
        <v>#N/A</v>
      </c>
    </row>
    <row r="83" spans="1:6" ht="13">
      <c r="A83" s="27" t="s">
        <v>582</v>
      </c>
      <c r="B83" s="27" t="s">
        <v>1406</v>
      </c>
      <c r="C83" s="27" t="s">
        <v>1326</v>
      </c>
      <c r="D83" s="27" t="s">
        <v>1325</v>
      </c>
      <c r="E83" s="27" t="s">
        <v>879</v>
      </c>
      <c r="F83" s="21" t="e">
        <f>VLOOKUP(A83,EduardoExtraction!B:E,4,)</f>
        <v>#N/A</v>
      </c>
    </row>
    <row r="84" spans="1:6" ht="13">
      <c r="A84" s="27" t="s">
        <v>582</v>
      </c>
      <c r="B84" s="27" t="s">
        <v>1329</v>
      </c>
      <c r="C84" s="27" t="s">
        <v>1339</v>
      </c>
      <c r="D84" s="27" t="s">
        <v>1325</v>
      </c>
      <c r="E84" s="27" t="s">
        <v>879</v>
      </c>
      <c r="F84" s="21" t="e">
        <f>VLOOKUP(A84,EduardoExtraction!B:E,4,)</f>
        <v>#N/A</v>
      </c>
    </row>
    <row r="85" spans="1:6" ht="13">
      <c r="A85" s="27" t="s">
        <v>592</v>
      </c>
      <c r="B85" s="27" t="s">
        <v>1250</v>
      </c>
      <c r="C85" s="27" t="s">
        <v>1324</v>
      </c>
      <c r="D85" s="27" t="s">
        <v>1325</v>
      </c>
      <c r="E85" s="27" t="s">
        <v>869</v>
      </c>
      <c r="F85" s="21" t="e">
        <f>VLOOKUP(A85,EduardoExtraction!B:E,4,)</f>
        <v>#N/A</v>
      </c>
    </row>
    <row r="86" spans="1:6" ht="13">
      <c r="A86" s="27" t="s">
        <v>592</v>
      </c>
      <c r="B86" s="27" t="s">
        <v>1399</v>
      </c>
      <c r="C86" s="27" t="s">
        <v>1326</v>
      </c>
      <c r="D86" s="27" t="s">
        <v>1325</v>
      </c>
      <c r="E86" s="27" t="s">
        <v>869</v>
      </c>
      <c r="F86" s="21" t="e">
        <f>VLOOKUP(A86,EduardoExtraction!B:E,4,)</f>
        <v>#N/A</v>
      </c>
    </row>
    <row r="87" spans="1:6" ht="13">
      <c r="A87" s="27" t="s">
        <v>592</v>
      </c>
      <c r="B87" s="27" t="s">
        <v>1407</v>
      </c>
      <c r="C87" s="27" t="s">
        <v>1326</v>
      </c>
      <c r="D87" s="27" t="s">
        <v>1325</v>
      </c>
      <c r="E87" s="27" t="s">
        <v>869</v>
      </c>
      <c r="F87" s="21" t="e">
        <f>VLOOKUP(A87,EduardoExtraction!B:E,4,)</f>
        <v>#N/A</v>
      </c>
    </row>
    <row r="88" spans="1:6" ht="13">
      <c r="A88" s="27" t="s">
        <v>592</v>
      </c>
      <c r="B88" s="27" t="s">
        <v>1408</v>
      </c>
      <c r="C88" s="27" t="s">
        <v>1326</v>
      </c>
      <c r="D88" s="27" t="s">
        <v>1325</v>
      </c>
      <c r="E88" s="27" t="s">
        <v>869</v>
      </c>
      <c r="F88" s="21" t="e">
        <f>VLOOKUP(A88,EduardoExtraction!B:E,4,)</f>
        <v>#N/A</v>
      </c>
    </row>
    <row r="89" spans="1:6" ht="13">
      <c r="A89" s="27" t="s">
        <v>592</v>
      </c>
      <c r="B89" s="27" t="s">
        <v>1401</v>
      </c>
      <c r="C89" s="27" t="s">
        <v>1326</v>
      </c>
      <c r="D89" s="27" t="s">
        <v>1325</v>
      </c>
      <c r="E89" s="27" t="s">
        <v>869</v>
      </c>
      <c r="F89" s="21" t="e">
        <f>VLOOKUP(A89,EduardoExtraction!B:E,4,)</f>
        <v>#N/A</v>
      </c>
    </row>
    <row r="90" spans="1:6" ht="13">
      <c r="A90" s="27" t="s">
        <v>592</v>
      </c>
      <c r="B90" s="27" t="s">
        <v>1328</v>
      </c>
      <c r="C90" s="27" t="s">
        <v>1326</v>
      </c>
      <c r="D90" s="27" t="s">
        <v>1325</v>
      </c>
      <c r="E90" s="27" t="s">
        <v>869</v>
      </c>
      <c r="F90" s="21" t="e">
        <f>VLOOKUP(A90,EduardoExtraction!B:E,4,)</f>
        <v>#N/A</v>
      </c>
    </row>
    <row r="91" spans="1:6" ht="13">
      <c r="A91" s="27" t="s">
        <v>592</v>
      </c>
      <c r="B91" s="27" t="s">
        <v>1404</v>
      </c>
      <c r="C91" s="27" t="s">
        <v>1330</v>
      </c>
      <c r="D91" s="27" t="s">
        <v>1325</v>
      </c>
      <c r="E91" s="27" t="s">
        <v>869</v>
      </c>
      <c r="F91" s="21" t="e">
        <f>VLOOKUP(A91,EduardoExtraction!B:E,4,)</f>
        <v>#N/A</v>
      </c>
    </row>
    <row r="92" spans="1:6" ht="13">
      <c r="A92" s="27" t="s">
        <v>603</v>
      </c>
      <c r="B92" s="27" t="s">
        <v>1250</v>
      </c>
      <c r="C92" s="27" t="s">
        <v>1331</v>
      </c>
      <c r="D92" s="27" t="s">
        <v>1409</v>
      </c>
      <c r="E92" s="27" t="s">
        <v>879</v>
      </c>
      <c r="F92" s="21" t="e">
        <f>VLOOKUP(A92,EduardoExtraction!B:E,4,)</f>
        <v>#N/A</v>
      </c>
    </row>
    <row r="93" spans="1:6" ht="13">
      <c r="A93" s="27" t="s">
        <v>603</v>
      </c>
      <c r="B93" s="27" t="s">
        <v>1328</v>
      </c>
      <c r="C93" s="27" t="s">
        <v>1326</v>
      </c>
      <c r="D93" s="27" t="s">
        <v>1325</v>
      </c>
      <c r="E93" s="27" t="s">
        <v>879</v>
      </c>
      <c r="F93" s="21" t="e">
        <f>VLOOKUP(A93,EduardoExtraction!B:E,4,)</f>
        <v>#N/A</v>
      </c>
    </row>
    <row r="94" spans="1:6" ht="13">
      <c r="A94" s="27" t="s">
        <v>603</v>
      </c>
      <c r="B94" s="27" t="s">
        <v>1329</v>
      </c>
      <c r="C94" s="27" t="s">
        <v>1339</v>
      </c>
      <c r="D94" s="27" t="s">
        <v>1325</v>
      </c>
      <c r="E94" s="27" t="s">
        <v>879</v>
      </c>
      <c r="F94" s="21" t="e">
        <f>VLOOKUP(A94,EduardoExtraction!B:E,4,)</f>
        <v>#N/A</v>
      </c>
    </row>
    <row r="95" spans="1:6" ht="13">
      <c r="A95" s="27" t="s">
        <v>621</v>
      </c>
      <c r="B95" s="27" t="s">
        <v>1250</v>
      </c>
      <c r="C95" s="27" t="s">
        <v>1331</v>
      </c>
      <c r="D95" s="27" t="s">
        <v>1409</v>
      </c>
      <c r="E95" s="27" t="s">
        <v>1410</v>
      </c>
      <c r="F95" s="21" t="e">
        <f>VLOOKUP(A95,EduardoExtraction!B:E,4,)</f>
        <v>#N/A</v>
      </c>
    </row>
    <row r="96" spans="1:6" ht="13">
      <c r="A96" s="27" t="s">
        <v>621</v>
      </c>
      <c r="B96" s="27" t="s">
        <v>1411</v>
      </c>
      <c r="C96" s="27" t="s">
        <v>1339</v>
      </c>
      <c r="D96" s="27" t="s">
        <v>1409</v>
      </c>
      <c r="E96" s="27" t="s">
        <v>1410</v>
      </c>
      <c r="F96" s="21" t="e">
        <f>VLOOKUP(A96,EduardoExtraction!B:E,4,)</f>
        <v>#N/A</v>
      </c>
    </row>
    <row r="97" spans="1:6" ht="13">
      <c r="A97" s="27" t="s">
        <v>632</v>
      </c>
      <c r="B97" s="27" t="s">
        <v>1250</v>
      </c>
      <c r="C97" s="27" t="s">
        <v>1331</v>
      </c>
      <c r="D97" s="27" t="s">
        <v>1409</v>
      </c>
      <c r="E97" s="27" t="s">
        <v>879</v>
      </c>
      <c r="F97" s="21" t="e">
        <f>VLOOKUP(A97,EduardoExtraction!B:E,4,)</f>
        <v>#N/A</v>
      </c>
    </row>
    <row r="98" spans="1:6" ht="13">
      <c r="A98" s="27" t="s">
        <v>632</v>
      </c>
      <c r="B98" s="27" t="s">
        <v>1328</v>
      </c>
      <c r="C98" s="27" t="s">
        <v>1326</v>
      </c>
      <c r="D98" s="27" t="s">
        <v>1325</v>
      </c>
      <c r="E98" s="27" t="s">
        <v>879</v>
      </c>
      <c r="F98" s="21" t="e">
        <f>VLOOKUP(A98,EduardoExtraction!B:E,4,)</f>
        <v>#N/A</v>
      </c>
    </row>
    <row r="99" spans="1:6" ht="13">
      <c r="A99" s="27" t="s">
        <v>632</v>
      </c>
      <c r="B99" s="27" t="s">
        <v>1329</v>
      </c>
      <c r="C99" s="27" t="s">
        <v>1339</v>
      </c>
      <c r="D99" s="27" t="s">
        <v>1325</v>
      </c>
      <c r="E99" s="27" t="s">
        <v>879</v>
      </c>
      <c r="F99" s="21" t="e">
        <f>VLOOKUP(A99,EduardoExtraction!B:E,4,)</f>
        <v>#N/A</v>
      </c>
    </row>
    <row r="100" spans="1:6" ht="13">
      <c r="A100" s="27" t="s">
        <v>660</v>
      </c>
      <c r="B100" s="27" t="s">
        <v>1253</v>
      </c>
      <c r="C100" s="27" t="s">
        <v>1331</v>
      </c>
      <c r="D100" s="27" t="s">
        <v>1357</v>
      </c>
      <c r="E100" s="27" t="s">
        <v>855</v>
      </c>
      <c r="F100" s="21" t="e">
        <f>VLOOKUP(A100,EduardoExtraction!B:E,4,)</f>
        <v>#N/A</v>
      </c>
    </row>
    <row r="101" spans="1:6" ht="13">
      <c r="A101" s="27" t="s">
        <v>660</v>
      </c>
      <c r="B101" s="27" t="s">
        <v>1412</v>
      </c>
      <c r="C101" s="27" t="s">
        <v>1339</v>
      </c>
      <c r="D101" s="27" t="s">
        <v>1357</v>
      </c>
      <c r="E101" s="27" t="s">
        <v>855</v>
      </c>
      <c r="F101" s="21" t="e">
        <f>VLOOKUP(A101,EduardoExtraction!B:E,4,)</f>
        <v>#N/A</v>
      </c>
    </row>
    <row r="102" spans="1:6" ht="13">
      <c r="A102" s="27" t="s">
        <v>694</v>
      </c>
      <c r="B102" s="27" t="s">
        <v>1296</v>
      </c>
      <c r="C102" s="27" t="s">
        <v>1331</v>
      </c>
      <c r="D102" s="27" t="s">
        <v>1341</v>
      </c>
      <c r="E102" s="27" t="s">
        <v>1413</v>
      </c>
      <c r="F102" s="21" t="e">
        <f>VLOOKUP(A102,EduardoExtraction!B:E,4,)</f>
        <v>#N/A</v>
      </c>
    </row>
    <row r="103" spans="1:6" ht="13">
      <c r="A103" s="27" t="s">
        <v>694</v>
      </c>
      <c r="B103" s="27" t="s">
        <v>1414</v>
      </c>
      <c r="C103" s="27" t="s">
        <v>1326</v>
      </c>
      <c r="D103" s="27" t="s">
        <v>1341</v>
      </c>
      <c r="E103" s="27" t="s">
        <v>1413</v>
      </c>
      <c r="F103" s="21" t="e">
        <f>VLOOKUP(A103,EduardoExtraction!B:E,4,)</f>
        <v>#N/A</v>
      </c>
    </row>
    <row r="104" spans="1:6" ht="13">
      <c r="A104" s="27" t="s">
        <v>694</v>
      </c>
      <c r="B104" s="27" t="s">
        <v>1415</v>
      </c>
      <c r="C104" s="27" t="s">
        <v>1326</v>
      </c>
      <c r="D104" s="27" t="s">
        <v>1341</v>
      </c>
      <c r="E104" s="27" t="s">
        <v>1413</v>
      </c>
      <c r="F104" s="21" t="e">
        <f>VLOOKUP(A104,EduardoExtraction!B:E,4,)</f>
        <v>#N/A</v>
      </c>
    </row>
    <row r="105" spans="1:6" ht="13">
      <c r="A105" s="27" t="s">
        <v>694</v>
      </c>
      <c r="B105" s="27" t="s">
        <v>1416</v>
      </c>
      <c r="C105" s="27" t="s">
        <v>1339</v>
      </c>
      <c r="D105" s="27" t="s">
        <v>1417</v>
      </c>
      <c r="E105" s="27" t="s">
        <v>1413</v>
      </c>
      <c r="F105" s="21" t="e">
        <f>VLOOKUP(A105,EduardoExtraction!B:E,4,)</f>
        <v>#N/A</v>
      </c>
    </row>
    <row r="106" spans="1:6" ht="13">
      <c r="A106" s="27" t="s">
        <v>713</v>
      </c>
      <c r="B106" s="27" t="s">
        <v>1292</v>
      </c>
      <c r="C106" s="27" t="s">
        <v>1331</v>
      </c>
      <c r="D106" s="27" t="s">
        <v>1341</v>
      </c>
      <c r="E106" s="27" t="s">
        <v>1418</v>
      </c>
      <c r="F106" s="21" t="e">
        <f>VLOOKUP(A106,EduardoExtraction!B:E,4,)</f>
        <v>#N/A</v>
      </c>
    </row>
    <row r="107" spans="1:6" ht="13">
      <c r="A107" s="27" t="s">
        <v>713</v>
      </c>
      <c r="B107" s="27" t="s">
        <v>1419</v>
      </c>
      <c r="C107" s="27" t="s">
        <v>1326</v>
      </c>
      <c r="D107" s="27" t="s">
        <v>1341</v>
      </c>
      <c r="E107" s="27" t="s">
        <v>1418</v>
      </c>
      <c r="F107" s="21" t="e">
        <f>VLOOKUP(A107,EduardoExtraction!B:E,4,)</f>
        <v>#N/A</v>
      </c>
    </row>
    <row r="108" spans="1:6" ht="13">
      <c r="A108" s="27" t="s">
        <v>713</v>
      </c>
      <c r="B108" s="27" t="s">
        <v>1420</v>
      </c>
      <c r="C108" s="27" t="s">
        <v>1339</v>
      </c>
      <c r="D108" s="27" t="s">
        <v>1341</v>
      </c>
      <c r="E108" s="27" t="s">
        <v>1418</v>
      </c>
      <c r="F108" s="21" t="e">
        <f>VLOOKUP(A108,EduardoExtraction!B:E,4,)</f>
        <v>#N/A</v>
      </c>
    </row>
    <row r="109" spans="1:6" ht="13">
      <c r="A109" s="27" t="s">
        <v>717</v>
      </c>
      <c r="B109" s="27" t="s">
        <v>1421</v>
      </c>
      <c r="C109" s="27" t="s">
        <v>1324</v>
      </c>
      <c r="D109" s="27" t="s">
        <v>1385</v>
      </c>
      <c r="E109" s="27" t="s">
        <v>858</v>
      </c>
      <c r="F109" s="21" t="e">
        <f>VLOOKUP(A109,EduardoExtraction!B:E,4,)</f>
        <v>#N/A</v>
      </c>
    </row>
    <row r="110" spans="1:6" ht="13">
      <c r="A110" s="27" t="s">
        <v>717</v>
      </c>
      <c r="B110" s="27" t="s">
        <v>1422</v>
      </c>
      <c r="C110" s="27" t="s">
        <v>1326</v>
      </c>
      <c r="D110" s="27" t="s">
        <v>1385</v>
      </c>
      <c r="E110" s="27" t="s">
        <v>858</v>
      </c>
      <c r="F110" s="21" t="e">
        <f>VLOOKUP(A110,EduardoExtraction!B:E,4,)</f>
        <v>#N/A</v>
      </c>
    </row>
    <row r="111" spans="1:6" ht="13">
      <c r="A111" s="27" t="s">
        <v>717</v>
      </c>
      <c r="B111" s="27" t="s">
        <v>1257</v>
      </c>
      <c r="C111" s="27" t="s">
        <v>1330</v>
      </c>
      <c r="D111" s="27" t="s">
        <v>1385</v>
      </c>
      <c r="E111" s="27" t="s">
        <v>858</v>
      </c>
      <c r="F111" s="21" t="e">
        <f>VLOOKUP(A111,EduardoExtraction!B:E,4,)</f>
        <v>#N/A</v>
      </c>
    </row>
    <row r="112" spans="1:6" ht="13">
      <c r="A112" s="27" t="s">
        <v>728</v>
      </c>
      <c r="B112" s="27" t="s">
        <v>1423</v>
      </c>
      <c r="C112" s="27" t="s">
        <v>1324</v>
      </c>
      <c r="D112" s="27" t="s">
        <v>1424</v>
      </c>
      <c r="E112" s="27" t="s">
        <v>860</v>
      </c>
      <c r="F112" s="21" t="e">
        <f>VLOOKUP(A112,EduardoExtraction!B:E,4,)</f>
        <v>#N/A</v>
      </c>
    </row>
    <row r="113" spans="1:6" ht="13">
      <c r="A113" s="27" t="s">
        <v>728</v>
      </c>
      <c r="B113" s="27" t="s">
        <v>1305</v>
      </c>
      <c r="C113" s="27" t="s">
        <v>1330</v>
      </c>
      <c r="D113" s="27" t="s">
        <v>1424</v>
      </c>
      <c r="E113" s="27" t="s">
        <v>860</v>
      </c>
      <c r="F113" s="21" t="e">
        <f>VLOOKUP(A113,EduardoExtraction!B:E,4,)</f>
        <v>#N/A</v>
      </c>
    </row>
    <row r="114" spans="1:6" ht="13">
      <c r="A114" s="27" t="s">
        <v>900</v>
      </c>
      <c r="B114" s="27" t="s">
        <v>1310</v>
      </c>
      <c r="C114" s="27" t="s">
        <v>1349</v>
      </c>
      <c r="D114" s="27" t="s">
        <v>1350</v>
      </c>
      <c r="E114" s="27" t="s">
        <v>1425</v>
      </c>
      <c r="F114" s="21" t="e">
        <f>VLOOKUP(A114,EduardoExtraction!B:E,4,)</f>
        <v>#N/A</v>
      </c>
    </row>
    <row r="115" spans="1:6" ht="13">
      <c r="A115" s="27" t="s">
        <v>767</v>
      </c>
      <c r="B115" s="27" t="s">
        <v>1315</v>
      </c>
      <c r="C115" s="27" t="s">
        <v>1331</v>
      </c>
      <c r="D115" s="27" t="s">
        <v>1377</v>
      </c>
      <c r="E115" s="27" t="s">
        <v>1426</v>
      </c>
      <c r="F115" s="21" t="e">
        <f>VLOOKUP(A115,EduardoExtraction!B:E,4,)</f>
        <v>#N/A</v>
      </c>
    </row>
    <row r="116" spans="1:6" ht="13">
      <c r="A116" s="27" t="s">
        <v>767</v>
      </c>
      <c r="B116" s="27" t="s">
        <v>1427</v>
      </c>
      <c r="C116" s="27" t="s">
        <v>1326</v>
      </c>
      <c r="D116" s="27" t="s">
        <v>1377</v>
      </c>
      <c r="E116" s="27" t="s">
        <v>1426</v>
      </c>
      <c r="F116" s="21" t="e">
        <f>VLOOKUP(A116,EduardoExtraction!B:E,4,)</f>
        <v>#N/A</v>
      </c>
    </row>
    <row r="117" spans="1:6" ht="13">
      <c r="A117" s="27" t="s">
        <v>767</v>
      </c>
      <c r="B117" s="27" t="s">
        <v>1428</v>
      </c>
      <c r="C117" s="27" t="s">
        <v>1326</v>
      </c>
      <c r="D117" s="27" t="s">
        <v>1377</v>
      </c>
      <c r="E117" s="27" t="s">
        <v>1426</v>
      </c>
      <c r="F117" s="21" t="e">
        <f>VLOOKUP(A117,EduardoExtraction!B:E,4,)</f>
        <v>#N/A</v>
      </c>
    </row>
    <row r="118" spans="1:6" ht="13">
      <c r="A118" s="27" t="s">
        <v>767</v>
      </c>
      <c r="B118" s="27" t="s">
        <v>1250</v>
      </c>
      <c r="C118" s="27" t="s">
        <v>1339</v>
      </c>
      <c r="D118" s="27" t="s">
        <v>1325</v>
      </c>
      <c r="E118" s="27" t="s">
        <v>1426</v>
      </c>
      <c r="F118" s="21" t="e">
        <f>VLOOKUP(A118,EduardoExtraction!B:E,4,)</f>
        <v>#N/A</v>
      </c>
    </row>
    <row r="119" spans="1:6" ht="13">
      <c r="A119" s="27" t="s">
        <v>787</v>
      </c>
      <c r="B119" s="27" t="s">
        <v>1262</v>
      </c>
      <c r="C119" s="27" t="s">
        <v>1331</v>
      </c>
      <c r="D119" s="27" t="s">
        <v>1429</v>
      </c>
      <c r="E119" s="27" t="s">
        <v>892</v>
      </c>
      <c r="F119" s="21" t="e">
        <f>VLOOKUP(A119,EduardoExtraction!B:E,4,)</f>
        <v>#N/A</v>
      </c>
    </row>
    <row r="120" spans="1:6" ht="13">
      <c r="A120" s="27" t="s">
        <v>787</v>
      </c>
      <c r="B120" s="27" t="s">
        <v>1430</v>
      </c>
      <c r="C120" s="27" t="s">
        <v>1326</v>
      </c>
      <c r="D120" s="27" t="s">
        <v>1431</v>
      </c>
      <c r="E120" s="27" t="s">
        <v>892</v>
      </c>
      <c r="F120" s="21" t="e">
        <f>VLOOKUP(A120,EduardoExtraction!B:E,4,)</f>
        <v>#N/A</v>
      </c>
    </row>
    <row r="121" spans="1:6" ht="13">
      <c r="A121" s="27" t="s">
        <v>787</v>
      </c>
      <c r="B121" s="27" t="s">
        <v>1432</v>
      </c>
      <c r="C121" s="27" t="s">
        <v>1326</v>
      </c>
      <c r="D121" s="27" t="s">
        <v>1429</v>
      </c>
      <c r="E121" s="27" t="s">
        <v>892</v>
      </c>
      <c r="F121" s="21" t="e">
        <f>VLOOKUP(A121,EduardoExtraction!B:E,4,)</f>
        <v>#N/A</v>
      </c>
    </row>
    <row r="122" spans="1:6" ht="13">
      <c r="A122" s="27" t="s">
        <v>787</v>
      </c>
      <c r="B122" s="27" t="s">
        <v>1433</v>
      </c>
      <c r="C122" s="27" t="s">
        <v>1326</v>
      </c>
      <c r="D122" s="27" t="s">
        <v>1434</v>
      </c>
      <c r="E122" s="27" t="s">
        <v>892</v>
      </c>
      <c r="F122" s="21" t="e">
        <f>VLOOKUP(A122,EduardoExtraction!B:E,4,)</f>
        <v>#N/A</v>
      </c>
    </row>
    <row r="123" spans="1:6" ht="13">
      <c r="A123" s="27" t="s">
        <v>787</v>
      </c>
      <c r="B123" s="27" t="s">
        <v>1435</v>
      </c>
      <c r="C123" s="27" t="s">
        <v>1326</v>
      </c>
      <c r="D123" s="27" t="s">
        <v>1429</v>
      </c>
      <c r="E123" s="27" t="s">
        <v>892</v>
      </c>
      <c r="F123" s="21" t="e">
        <f>VLOOKUP(A123,EduardoExtraction!B:E,4,)</f>
        <v>#N/A</v>
      </c>
    </row>
    <row r="124" spans="1:6" ht="13">
      <c r="A124" s="27" t="s">
        <v>787</v>
      </c>
      <c r="B124" s="27" t="s">
        <v>1436</v>
      </c>
      <c r="C124" s="27" t="s">
        <v>1326</v>
      </c>
      <c r="D124" s="27" t="s">
        <v>1431</v>
      </c>
      <c r="E124" s="27" t="s">
        <v>892</v>
      </c>
      <c r="F124" s="21" t="e">
        <f>VLOOKUP(A124,EduardoExtraction!B:E,4,)</f>
        <v>#N/A</v>
      </c>
    </row>
    <row r="125" spans="1:6" ht="13">
      <c r="A125" s="27" t="s">
        <v>787</v>
      </c>
      <c r="B125" s="27" t="s">
        <v>1437</v>
      </c>
      <c r="C125" s="27" t="s">
        <v>1326</v>
      </c>
      <c r="D125" s="27" t="s">
        <v>1429</v>
      </c>
      <c r="E125" s="27" t="s">
        <v>892</v>
      </c>
      <c r="F125" s="21" t="e">
        <f>VLOOKUP(A125,EduardoExtraction!B:E,4,)</f>
        <v>#N/A</v>
      </c>
    </row>
    <row r="126" spans="1:6" ht="13">
      <c r="A126" s="27" t="s">
        <v>787</v>
      </c>
      <c r="B126" s="27" t="s">
        <v>1438</v>
      </c>
      <c r="C126" s="27" t="s">
        <v>1326</v>
      </c>
      <c r="D126" s="27" t="s">
        <v>1429</v>
      </c>
      <c r="E126" s="27" t="s">
        <v>892</v>
      </c>
      <c r="F126" s="21" t="e">
        <f>VLOOKUP(A126,EduardoExtraction!B:E,4,)</f>
        <v>#N/A</v>
      </c>
    </row>
    <row r="127" spans="1:6" ht="13">
      <c r="A127" s="27" t="s">
        <v>787</v>
      </c>
      <c r="B127" s="27" t="s">
        <v>1439</v>
      </c>
      <c r="C127" s="27" t="s">
        <v>1326</v>
      </c>
      <c r="D127" s="27" t="s">
        <v>1429</v>
      </c>
      <c r="E127" s="27" t="s">
        <v>892</v>
      </c>
      <c r="F127" s="21" t="e">
        <f>VLOOKUP(A127,EduardoExtraction!B:E,4,)</f>
        <v>#N/A</v>
      </c>
    </row>
    <row r="128" spans="1:6" ht="13">
      <c r="A128" s="27" t="s">
        <v>787</v>
      </c>
      <c r="B128" s="27" t="s">
        <v>1440</v>
      </c>
      <c r="C128" s="27" t="s">
        <v>1326</v>
      </c>
      <c r="D128" s="27" t="s">
        <v>1429</v>
      </c>
      <c r="E128" s="27" t="s">
        <v>892</v>
      </c>
      <c r="F128" s="21" t="e">
        <f>VLOOKUP(A128,EduardoExtraction!B:E,4,)</f>
        <v>#N/A</v>
      </c>
    </row>
    <row r="129" spans="1:6" ht="13">
      <c r="A129" s="27" t="s">
        <v>787</v>
      </c>
      <c r="B129" s="27" t="s">
        <v>1441</v>
      </c>
      <c r="C129" s="27" t="s">
        <v>1326</v>
      </c>
      <c r="D129" s="27" t="s">
        <v>1429</v>
      </c>
      <c r="E129" s="27" t="s">
        <v>892</v>
      </c>
      <c r="F129" s="21" t="e">
        <f>VLOOKUP(A129,EduardoExtraction!B:E,4,)</f>
        <v>#N/A</v>
      </c>
    </row>
    <row r="130" spans="1:6" ht="13">
      <c r="A130" s="27" t="s">
        <v>787</v>
      </c>
      <c r="B130" s="27" t="s">
        <v>1442</v>
      </c>
      <c r="C130" s="27" t="s">
        <v>1326</v>
      </c>
      <c r="D130" s="27" t="s">
        <v>1431</v>
      </c>
      <c r="E130" s="27" t="s">
        <v>892</v>
      </c>
      <c r="F130" s="21" t="e">
        <f>VLOOKUP(A130,EduardoExtraction!B:E,4,)</f>
        <v>#N/A</v>
      </c>
    </row>
    <row r="131" spans="1:6" ht="13">
      <c r="A131" s="27" t="s">
        <v>787</v>
      </c>
      <c r="B131" s="27" t="s">
        <v>1443</v>
      </c>
      <c r="C131" s="27" t="s">
        <v>1339</v>
      </c>
      <c r="D131" s="27" t="s">
        <v>1429</v>
      </c>
      <c r="E131" s="27" t="s">
        <v>892</v>
      </c>
      <c r="F131" s="21" t="e">
        <f>VLOOKUP(A131,EduardoExtraction!B:E,4,)</f>
        <v>#N/A</v>
      </c>
    </row>
    <row r="132" spans="1:6" ht="13">
      <c r="A132" s="27" t="s">
        <v>791</v>
      </c>
      <c r="B132" s="27" t="s">
        <v>1444</v>
      </c>
      <c r="C132" s="27" t="s">
        <v>1324</v>
      </c>
      <c r="D132" s="27" t="s">
        <v>1445</v>
      </c>
      <c r="E132" s="27" t="s">
        <v>835</v>
      </c>
      <c r="F132" s="21" t="e">
        <f>VLOOKUP(A132,EduardoExtraction!B:E,4,)</f>
        <v>#N/A</v>
      </c>
    </row>
    <row r="133" spans="1:6" ht="13">
      <c r="A133" s="27" t="s">
        <v>791</v>
      </c>
      <c r="B133" s="27" t="s">
        <v>1446</v>
      </c>
      <c r="C133" s="27" t="s">
        <v>1326</v>
      </c>
      <c r="D133" s="27" t="s">
        <v>1445</v>
      </c>
      <c r="E133" s="27" t="s">
        <v>835</v>
      </c>
      <c r="F133" s="21" t="e">
        <f>VLOOKUP(A133,EduardoExtraction!B:E,4,)</f>
        <v>#N/A</v>
      </c>
    </row>
    <row r="134" spans="1:6" ht="13">
      <c r="A134" s="27" t="s">
        <v>791</v>
      </c>
      <c r="B134" s="27" t="s">
        <v>1447</v>
      </c>
      <c r="C134" s="27" t="s">
        <v>1326</v>
      </c>
      <c r="D134" s="27" t="s">
        <v>1445</v>
      </c>
      <c r="E134" s="27" t="s">
        <v>835</v>
      </c>
      <c r="F134" s="21" t="e">
        <f>VLOOKUP(A134,EduardoExtraction!B:E,4,)</f>
        <v>#N/A</v>
      </c>
    </row>
    <row r="135" spans="1:6" ht="13">
      <c r="A135" s="27" t="s">
        <v>791</v>
      </c>
      <c r="B135" s="27" t="s">
        <v>1448</v>
      </c>
      <c r="C135" s="27" t="s">
        <v>1326</v>
      </c>
      <c r="D135" s="27" t="s">
        <v>1341</v>
      </c>
      <c r="E135" s="27" t="s">
        <v>835</v>
      </c>
      <c r="F135" s="21" t="e">
        <f>VLOOKUP(A135,EduardoExtraction!B:E,4,)</f>
        <v>#N/A</v>
      </c>
    </row>
    <row r="136" spans="1:6" ht="13">
      <c r="A136" s="27" t="s">
        <v>791</v>
      </c>
      <c r="B136" s="27" t="s">
        <v>1415</v>
      </c>
      <c r="C136" s="27" t="s">
        <v>1326</v>
      </c>
      <c r="D136" s="27" t="s">
        <v>1341</v>
      </c>
      <c r="E136" s="27" t="s">
        <v>835</v>
      </c>
      <c r="F136" s="21" t="e">
        <f>VLOOKUP(A136,EduardoExtraction!B:E,4,)</f>
        <v>#N/A</v>
      </c>
    </row>
    <row r="137" spans="1:6" ht="13">
      <c r="A137" s="27" t="s">
        <v>791</v>
      </c>
      <c r="B137" s="27" t="s">
        <v>1449</v>
      </c>
      <c r="C137" s="27" t="s">
        <v>1326</v>
      </c>
      <c r="D137" s="27" t="s">
        <v>1445</v>
      </c>
      <c r="E137" s="27" t="s">
        <v>835</v>
      </c>
      <c r="F137" s="21" t="e">
        <f>VLOOKUP(A137,EduardoExtraction!B:E,4,)</f>
        <v>#N/A</v>
      </c>
    </row>
    <row r="138" spans="1:6" ht="13">
      <c r="A138" s="27" t="s">
        <v>791</v>
      </c>
      <c r="B138" s="27" t="s">
        <v>1296</v>
      </c>
      <c r="C138" s="27" t="s">
        <v>1330</v>
      </c>
      <c r="D138" s="27" t="s">
        <v>1341</v>
      </c>
      <c r="E138" s="27" t="s">
        <v>835</v>
      </c>
      <c r="F138" s="21" t="e">
        <f>VLOOKUP(A138,EduardoExtraction!B:E,4,)</f>
        <v>#N/A</v>
      </c>
    </row>
    <row r="139" spans="1:6" ht="13">
      <c r="A139" s="27" t="s">
        <v>795</v>
      </c>
      <c r="B139" s="27" t="s">
        <v>1444</v>
      </c>
      <c r="C139" s="27" t="s">
        <v>1324</v>
      </c>
      <c r="D139" s="27" t="s">
        <v>1445</v>
      </c>
      <c r="E139" s="27" t="s">
        <v>835</v>
      </c>
      <c r="F139" s="21" t="e">
        <f>VLOOKUP(A139,EduardoExtraction!B:E,4,)</f>
        <v>#N/A</v>
      </c>
    </row>
    <row r="140" spans="1:6" ht="13">
      <c r="A140" s="27" t="s">
        <v>795</v>
      </c>
      <c r="B140" s="27" t="s">
        <v>1447</v>
      </c>
      <c r="C140" s="27" t="s">
        <v>1326</v>
      </c>
      <c r="D140" s="27" t="s">
        <v>1445</v>
      </c>
      <c r="E140" s="27" t="s">
        <v>835</v>
      </c>
      <c r="F140" s="21" t="e">
        <f>VLOOKUP(A140,EduardoExtraction!B:E,4,)</f>
        <v>#N/A</v>
      </c>
    </row>
    <row r="141" spans="1:6" ht="13">
      <c r="A141" s="27" t="s">
        <v>795</v>
      </c>
      <c r="B141" s="27" t="s">
        <v>1450</v>
      </c>
      <c r="C141" s="27" t="s">
        <v>1326</v>
      </c>
      <c r="D141" s="27" t="s">
        <v>1445</v>
      </c>
      <c r="E141" s="27" t="s">
        <v>835</v>
      </c>
      <c r="F141" s="21" t="e">
        <f>VLOOKUP(A141,EduardoExtraction!B:E,4,)</f>
        <v>#N/A</v>
      </c>
    </row>
    <row r="142" spans="1:6" ht="13">
      <c r="A142" s="27" t="s">
        <v>795</v>
      </c>
      <c r="B142" s="27" t="s">
        <v>1451</v>
      </c>
      <c r="C142" s="27" t="s">
        <v>1326</v>
      </c>
      <c r="D142" s="27" t="s">
        <v>1445</v>
      </c>
      <c r="E142" s="27" t="s">
        <v>835</v>
      </c>
      <c r="F142" s="21" t="e">
        <f>VLOOKUP(A142,EduardoExtraction!B:E,4,)</f>
        <v>#N/A</v>
      </c>
    </row>
    <row r="143" spans="1:6" ht="13">
      <c r="A143" s="27" t="s">
        <v>795</v>
      </c>
      <c r="B143" s="27" t="s">
        <v>1415</v>
      </c>
      <c r="C143" s="27" t="s">
        <v>1326</v>
      </c>
      <c r="D143" s="27" t="s">
        <v>1341</v>
      </c>
      <c r="E143" s="27" t="s">
        <v>835</v>
      </c>
      <c r="F143" s="21" t="e">
        <f>VLOOKUP(A143,EduardoExtraction!B:E,4,)</f>
        <v>#N/A</v>
      </c>
    </row>
    <row r="144" spans="1:6" ht="13">
      <c r="A144" s="27" t="s">
        <v>795</v>
      </c>
      <c r="B144" s="27" t="s">
        <v>1449</v>
      </c>
      <c r="C144" s="27" t="s">
        <v>1326</v>
      </c>
      <c r="D144" s="27" t="s">
        <v>1445</v>
      </c>
      <c r="E144" s="27" t="s">
        <v>835</v>
      </c>
      <c r="F144" s="21" t="e">
        <f>VLOOKUP(A144,EduardoExtraction!B:E,4,)</f>
        <v>#N/A</v>
      </c>
    </row>
    <row r="145" spans="1:6" ht="13">
      <c r="A145" s="27" t="s">
        <v>795</v>
      </c>
      <c r="B145" s="27" t="s">
        <v>1296</v>
      </c>
      <c r="C145" s="27" t="s">
        <v>1330</v>
      </c>
      <c r="D145" s="27" t="s">
        <v>1341</v>
      </c>
      <c r="E145" s="27" t="s">
        <v>835</v>
      </c>
      <c r="F145" s="21" t="e">
        <f>VLOOKUP(A145,EduardoExtraction!B:E,4,)</f>
        <v>#N/A</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G108"/>
  <sheetViews>
    <sheetView workbookViewId="0">
      <pane ySplit="1" topLeftCell="A2" activePane="bottomLeft" state="frozen"/>
      <selection pane="bottomLeft" activeCell="B3" sqref="B3"/>
    </sheetView>
  </sheetViews>
  <sheetFormatPr baseColWidth="10" defaultColWidth="12.6640625" defaultRowHeight="15.75" customHeight="1"/>
  <cols>
    <col min="1" max="1" width="49.5" customWidth="1"/>
    <col min="2" max="2" width="18.1640625" customWidth="1"/>
    <col min="3" max="3" width="37.6640625" customWidth="1"/>
    <col min="4" max="4" width="17.5" customWidth="1"/>
    <col min="5" max="5" width="22.1640625" customWidth="1"/>
    <col min="6" max="6" width="24.5" customWidth="1"/>
    <col min="7" max="7" width="24.6640625" customWidth="1"/>
  </cols>
  <sheetData>
    <row r="1" spans="1:7" ht="22.5" customHeight="1">
      <c r="A1" s="22" t="s">
        <v>816</v>
      </c>
      <c r="B1" s="22" t="s">
        <v>948</v>
      </c>
      <c r="C1" s="22" t="s">
        <v>1452</v>
      </c>
      <c r="D1" s="22" t="s">
        <v>1453</v>
      </c>
      <c r="E1" s="22" t="s">
        <v>1454</v>
      </c>
      <c r="F1" s="22" t="s">
        <v>1455</v>
      </c>
      <c r="G1" s="22" t="s">
        <v>1456</v>
      </c>
    </row>
    <row r="2" spans="1:7" ht="22.5" customHeight="1">
      <c r="A2" s="7" t="s">
        <v>152</v>
      </c>
      <c r="B2" s="7" t="s">
        <v>956</v>
      </c>
      <c r="C2" s="7" t="s">
        <v>1457</v>
      </c>
      <c r="D2" s="7">
        <v>68</v>
      </c>
      <c r="E2" s="7" t="s">
        <v>1458</v>
      </c>
      <c r="F2" s="7" t="s">
        <v>1459</v>
      </c>
      <c r="G2" s="7" t="s">
        <v>1460</v>
      </c>
    </row>
    <row r="3" spans="1:7" ht="22.5" customHeight="1">
      <c r="A3" s="7" t="s">
        <v>152</v>
      </c>
      <c r="B3" s="7" t="s">
        <v>1128</v>
      </c>
      <c r="C3" s="7" t="s">
        <v>1461</v>
      </c>
      <c r="D3" s="7">
        <v>68</v>
      </c>
      <c r="E3" s="7" t="s">
        <v>1458</v>
      </c>
      <c r="F3" s="7" t="s">
        <v>1462</v>
      </c>
      <c r="G3" s="7" t="s">
        <v>1460</v>
      </c>
    </row>
    <row r="4" spans="1:7" ht="22.5" customHeight="1">
      <c r="A4" s="7" t="s">
        <v>152</v>
      </c>
      <c r="B4" s="7" t="s">
        <v>1463</v>
      </c>
      <c r="C4" s="7" t="s">
        <v>1464</v>
      </c>
      <c r="D4" s="7">
        <v>69</v>
      </c>
      <c r="E4" s="7" t="s">
        <v>1458</v>
      </c>
      <c r="F4" s="7" t="s">
        <v>1465</v>
      </c>
      <c r="G4" s="7" t="s">
        <v>1460</v>
      </c>
    </row>
    <row r="5" spans="1:7" ht="22.5" customHeight="1">
      <c r="A5" s="7" t="s">
        <v>189</v>
      </c>
      <c r="B5" s="7" t="s">
        <v>963</v>
      </c>
      <c r="C5" s="7" t="s">
        <v>1466</v>
      </c>
      <c r="D5" s="7">
        <v>217</v>
      </c>
      <c r="E5" s="7" t="s">
        <v>1458</v>
      </c>
      <c r="F5" s="7" t="s">
        <v>1467</v>
      </c>
      <c r="G5" s="7" t="s">
        <v>969</v>
      </c>
    </row>
    <row r="6" spans="1:7" ht="22.5" customHeight="1">
      <c r="A6" s="7" t="s">
        <v>189</v>
      </c>
      <c r="B6" s="7" t="s">
        <v>1468</v>
      </c>
      <c r="C6" s="7" t="s">
        <v>1469</v>
      </c>
      <c r="D6" s="7">
        <v>151</v>
      </c>
      <c r="E6" s="7" t="s">
        <v>1458</v>
      </c>
      <c r="F6" s="7" t="s">
        <v>1470</v>
      </c>
      <c r="G6" s="7" t="s">
        <v>969</v>
      </c>
    </row>
    <row r="7" spans="1:7" ht="22.5" customHeight="1">
      <c r="A7" s="7" t="s">
        <v>202</v>
      </c>
      <c r="B7" s="7" t="s">
        <v>1471</v>
      </c>
      <c r="C7" s="7" t="s">
        <v>1472</v>
      </c>
      <c r="D7" s="7">
        <v>19</v>
      </c>
      <c r="E7" s="7" t="s">
        <v>1458</v>
      </c>
      <c r="F7" s="7" t="s">
        <v>1473</v>
      </c>
      <c r="G7" s="7" t="s">
        <v>1474</v>
      </c>
    </row>
    <row r="8" spans="1:7" ht="22.5" customHeight="1">
      <c r="A8" s="7" t="s">
        <v>202</v>
      </c>
      <c r="B8" s="7" t="s">
        <v>1475</v>
      </c>
      <c r="C8" s="7" t="s">
        <v>1476</v>
      </c>
      <c r="D8" s="7">
        <v>23</v>
      </c>
      <c r="E8" s="7" t="s">
        <v>1458</v>
      </c>
      <c r="F8" s="7" t="s">
        <v>1477</v>
      </c>
      <c r="G8" s="7" t="s">
        <v>1474</v>
      </c>
    </row>
    <row r="9" spans="1:7" ht="22.5" customHeight="1">
      <c r="A9" s="7" t="s">
        <v>202</v>
      </c>
      <c r="B9" s="7" t="s">
        <v>1478</v>
      </c>
      <c r="C9" s="7" t="s">
        <v>1479</v>
      </c>
      <c r="D9" s="7">
        <v>20</v>
      </c>
      <c r="E9" s="7" t="s">
        <v>1458</v>
      </c>
      <c r="F9" s="7" t="s">
        <v>1480</v>
      </c>
      <c r="G9" s="7" t="s">
        <v>1474</v>
      </c>
    </row>
    <row r="10" spans="1:7" ht="22.5" customHeight="1">
      <c r="A10" s="7" t="s">
        <v>226</v>
      </c>
      <c r="B10" s="7" t="s">
        <v>1481</v>
      </c>
      <c r="C10" s="7" t="s">
        <v>1482</v>
      </c>
      <c r="D10" s="7">
        <v>25</v>
      </c>
      <c r="E10" s="7" t="s">
        <v>1458</v>
      </c>
      <c r="F10" s="7" t="s">
        <v>1483</v>
      </c>
      <c r="G10" s="7" t="s">
        <v>1484</v>
      </c>
    </row>
    <row r="11" spans="1:7" ht="22.5" customHeight="1">
      <c r="A11" s="7" t="s">
        <v>226</v>
      </c>
      <c r="B11" s="7" t="s">
        <v>1485</v>
      </c>
      <c r="C11" s="7" t="s">
        <v>1486</v>
      </c>
      <c r="D11" s="7">
        <v>25</v>
      </c>
      <c r="E11" s="7" t="s">
        <v>1458</v>
      </c>
      <c r="F11" s="7" t="s">
        <v>1483</v>
      </c>
      <c r="G11" s="7" t="s">
        <v>1484</v>
      </c>
    </row>
    <row r="12" spans="1:7" ht="22.5" customHeight="1">
      <c r="A12" s="7" t="s">
        <v>226</v>
      </c>
      <c r="B12" s="7" t="s">
        <v>1487</v>
      </c>
      <c r="C12" s="7" t="s">
        <v>1488</v>
      </c>
      <c r="D12" s="7">
        <v>25</v>
      </c>
      <c r="E12" s="7" t="s">
        <v>1458</v>
      </c>
      <c r="F12" s="7" t="s">
        <v>1489</v>
      </c>
      <c r="G12" s="7" t="s">
        <v>1484</v>
      </c>
    </row>
    <row r="13" spans="1:7" ht="22.5" customHeight="1">
      <c r="A13" s="7" t="s">
        <v>226</v>
      </c>
      <c r="B13" s="7" t="s">
        <v>1490</v>
      </c>
      <c r="C13" s="7" t="s">
        <v>1491</v>
      </c>
      <c r="D13" s="7">
        <v>25</v>
      </c>
      <c r="E13" s="7" t="s">
        <v>1458</v>
      </c>
      <c r="F13" s="7" t="s">
        <v>1483</v>
      </c>
      <c r="G13" s="7" t="s">
        <v>1484</v>
      </c>
    </row>
    <row r="14" spans="1:7" ht="22.5" customHeight="1">
      <c r="A14" s="7" t="s">
        <v>226</v>
      </c>
      <c r="B14" s="7" t="s">
        <v>1492</v>
      </c>
      <c r="C14" s="7" t="s">
        <v>1493</v>
      </c>
      <c r="D14" s="7">
        <v>25</v>
      </c>
      <c r="E14" s="7" t="s">
        <v>1458</v>
      </c>
      <c r="F14" s="7" t="s">
        <v>1483</v>
      </c>
      <c r="G14" s="7" t="s">
        <v>1484</v>
      </c>
    </row>
    <row r="15" spans="1:7" ht="22.5" customHeight="1">
      <c r="A15" s="7" t="s">
        <v>226</v>
      </c>
      <c r="B15" s="7" t="s">
        <v>1494</v>
      </c>
      <c r="C15" s="7" t="s">
        <v>1495</v>
      </c>
      <c r="D15" s="7">
        <v>24</v>
      </c>
      <c r="E15" s="7" t="s">
        <v>1458</v>
      </c>
      <c r="F15" s="7" t="s">
        <v>1496</v>
      </c>
      <c r="G15" s="7" t="s">
        <v>1484</v>
      </c>
    </row>
    <row r="16" spans="1:7" ht="22.5" customHeight="1">
      <c r="A16" s="7" t="s">
        <v>888</v>
      </c>
      <c r="B16" s="7" t="s">
        <v>988</v>
      </c>
      <c r="C16" s="7" t="s">
        <v>1497</v>
      </c>
      <c r="D16" s="7">
        <v>89</v>
      </c>
      <c r="E16" s="7" t="s">
        <v>1458</v>
      </c>
      <c r="F16" s="7" t="s">
        <v>9</v>
      </c>
      <c r="G16" s="7" t="s">
        <v>1498</v>
      </c>
    </row>
    <row r="17" spans="1:7" ht="22.5" customHeight="1">
      <c r="A17" s="7" t="s">
        <v>888</v>
      </c>
      <c r="B17" s="7" t="s">
        <v>1499</v>
      </c>
      <c r="C17" s="7" t="s">
        <v>1500</v>
      </c>
      <c r="D17" s="7">
        <v>92</v>
      </c>
      <c r="E17" s="7" t="s">
        <v>1458</v>
      </c>
      <c r="F17" s="7" t="s">
        <v>9</v>
      </c>
      <c r="G17" s="7" t="s">
        <v>1501</v>
      </c>
    </row>
    <row r="18" spans="1:7" ht="22.5" customHeight="1">
      <c r="A18" s="7" t="s">
        <v>995</v>
      </c>
      <c r="B18" s="7" t="s">
        <v>1502</v>
      </c>
      <c r="C18" s="7" t="s">
        <v>1503</v>
      </c>
      <c r="D18" s="7">
        <v>68</v>
      </c>
      <c r="E18" s="7" t="s">
        <v>1458</v>
      </c>
      <c r="F18" s="7" t="s">
        <v>18</v>
      </c>
      <c r="G18" s="7" t="s">
        <v>1504</v>
      </c>
    </row>
    <row r="19" spans="1:7" ht="22.5" customHeight="1">
      <c r="A19" s="7" t="s">
        <v>995</v>
      </c>
      <c r="B19" s="7" t="s">
        <v>996</v>
      </c>
      <c r="C19" s="7" t="s">
        <v>1505</v>
      </c>
      <c r="D19" s="7">
        <v>96</v>
      </c>
      <c r="E19" s="7" t="s">
        <v>1458</v>
      </c>
      <c r="F19" s="7" t="s">
        <v>18</v>
      </c>
      <c r="G19" s="7" t="s">
        <v>1506</v>
      </c>
    </row>
    <row r="20" spans="1:7" ht="22.5" customHeight="1">
      <c r="A20" s="7" t="s">
        <v>258</v>
      </c>
      <c r="B20" s="7" t="s">
        <v>1002</v>
      </c>
      <c r="C20" s="7" t="s">
        <v>1507</v>
      </c>
      <c r="D20" s="7">
        <v>23</v>
      </c>
      <c r="E20" s="7" t="s">
        <v>1458</v>
      </c>
      <c r="F20" s="7" t="s">
        <v>1508</v>
      </c>
      <c r="G20" s="7" t="s">
        <v>1460</v>
      </c>
    </row>
    <row r="21" spans="1:7" ht="22.5" customHeight="1">
      <c r="A21" s="7" t="s">
        <v>258</v>
      </c>
      <c r="B21" s="7" t="s">
        <v>1468</v>
      </c>
      <c r="C21" s="7" t="s">
        <v>1509</v>
      </c>
      <c r="D21" s="7">
        <v>12</v>
      </c>
      <c r="E21" s="7" t="s">
        <v>1458</v>
      </c>
      <c r="F21" s="7" t="s">
        <v>1510</v>
      </c>
      <c r="G21" s="7" t="s">
        <v>1460</v>
      </c>
    </row>
    <row r="22" spans="1:7" ht="22.5" customHeight="1">
      <c r="A22" s="7" t="s">
        <v>258</v>
      </c>
      <c r="B22" s="7" t="s">
        <v>1511</v>
      </c>
      <c r="C22" s="7" t="s">
        <v>1512</v>
      </c>
      <c r="D22" s="7">
        <v>9</v>
      </c>
      <c r="E22" s="7" t="s">
        <v>1513</v>
      </c>
      <c r="F22" s="7" t="s">
        <v>9</v>
      </c>
      <c r="G22" s="7" t="s">
        <v>1514</v>
      </c>
    </row>
    <row r="23" spans="1:7" ht="22.5" customHeight="1">
      <c r="A23" s="7" t="s">
        <v>830</v>
      </c>
      <c r="B23" s="7" t="s">
        <v>1515</v>
      </c>
      <c r="C23" s="7" t="s">
        <v>1516</v>
      </c>
      <c r="D23" s="7">
        <v>24</v>
      </c>
      <c r="E23" s="7" t="s">
        <v>1458</v>
      </c>
      <c r="F23" s="7" t="s">
        <v>9</v>
      </c>
      <c r="G23" s="7" t="s">
        <v>1517</v>
      </c>
    </row>
    <row r="24" spans="1:7" ht="22.5" customHeight="1">
      <c r="A24" s="7" t="s">
        <v>830</v>
      </c>
      <c r="B24" s="7" t="s">
        <v>1518</v>
      </c>
      <c r="C24" s="7" t="s">
        <v>1519</v>
      </c>
      <c r="D24" s="7">
        <v>26</v>
      </c>
      <c r="E24" s="7" t="s">
        <v>1458</v>
      </c>
      <c r="F24" s="7" t="s">
        <v>9</v>
      </c>
      <c r="G24" s="7" t="s">
        <v>1517</v>
      </c>
    </row>
    <row r="25" spans="1:7" ht="22.5" customHeight="1">
      <c r="A25" s="7" t="s">
        <v>830</v>
      </c>
      <c r="B25" s="7" t="s">
        <v>1520</v>
      </c>
      <c r="C25" s="7" t="s">
        <v>1521</v>
      </c>
      <c r="D25" s="7">
        <v>16</v>
      </c>
      <c r="E25" s="7" t="s">
        <v>1458</v>
      </c>
      <c r="F25" s="7" t="s">
        <v>9</v>
      </c>
      <c r="G25" s="7" t="s">
        <v>1517</v>
      </c>
    </row>
    <row r="26" spans="1:7" ht="22.5" customHeight="1">
      <c r="A26" s="7" t="s">
        <v>830</v>
      </c>
      <c r="B26" s="7" t="s">
        <v>1522</v>
      </c>
      <c r="C26" s="7" t="s">
        <v>1523</v>
      </c>
      <c r="D26" s="7">
        <v>19</v>
      </c>
      <c r="E26" s="7" t="s">
        <v>1513</v>
      </c>
      <c r="F26" s="7" t="s">
        <v>1524</v>
      </c>
      <c r="G26" s="7" t="s">
        <v>1525</v>
      </c>
    </row>
    <row r="27" spans="1:7" ht="22.5" customHeight="1">
      <c r="A27" s="7" t="s">
        <v>830</v>
      </c>
      <c r="B27" s="7" t="s">
        <v>1526</v>
      </c>
      <c r="C27" s="7" t="s">
        <v>1527</v>
      </c>
      <c r="D27" s="7">
        <v>17</v>
      </c>
      <c r="E27" s="7" t="s">
        <v>1513</v>
      </c>
      <c r="F27" s="7" t="s">
        <v>1528</v>
      </c>
      <c r="G27" s="7" t="s">
        <v>1525</v>
      </c>
    </row>
    <row r="28" spans="1:7" ht="22.5" customHeight="1">
      <c r="A28" s="7" t="s">
        <v>830</v>
      </c>
      <c r="B28" s="7" t="s">
        <v>1529</v>
      </c>
      <c r="C28" s="7" t="s">
        <v>1530</v>
      </c>
      <c r="D28" s="7">
        <v>18</v>
      </c>
      <c r="E28" s="7" t="s">
        <v>1513</v>
      </c>
      <c r="F28" s="7" t="s">
        <v>1531</v>
      </c>
      <c r="G28" s="7" t="s">
        <v>1525</v>
      </c>
    </row>
    <row r="29" spans="1:7" ht="22.5" customHeight="1">
      <c r="A29" s="7" t="s">
        <v>291</v>
      </c>
      <c r="B29" s="7" t="s">
        <v>1515</v>
      </c>
      <c r="C29" s="7" t="s">
        <v>1532</v>
      </c>
      <c r="D29" s="7">
        <v>24</v>
      </c>
      <c r="E29" s="7" t="s">
        <v>1458</v>
      </c>
      <c r="F29" s="7" t="s">
        <v>9</v>
      </c>
      <c r="G29" s="7" t="s">
        <v>1062</v>
      </c>
    </row>
    <row r="30" spans="1:7" ht="22.5" customHeight="1">
      <c r="A30" s="7" t="s">
        <v>291</v>
      </c>
      <c r="B30" s="7" t="s">
        <v>1518</v>
      </c>
      <c r="C30" s="7" t="s">
        <v>1533</v>
      </c>
      <c r="D30" s="7">
        <v>26</v>
      </c>
      <c r="E30" s="7" t="s">
        <v>1458</v>
      </c>
      <c r="F30" s="7" t="s">
        <v>9</v>
      </c>
      <c r="G30" s="7" t="s">
        <v>1062</v>
      </c>
    </row>
    <row r="31" spans="1:7" ht="22.5" customHeight="1">
      <c r="A31" s="7" t="s">
        <v>291</v>
      </c>
      <c r="B31" s="7" t="s">
        <v>1520</v>
      </c>
      <c r="C31" s="7" t="s">
        <v>1534</v>
      </c>
      <c r="D31" s="7">
        <v>16</v>
      </c>
      <c r="E31" s="7" t="s">
        <v>1458</v>
      </c>
      <c r="F31" s="7" t="s">
        <v>9</v>
      </c>
      <c r="G31" s="7" t="s">
        <v>1062</v>
      </c>
    </row>
    <row r="32" spans="1:7" ht="22.5" customHeight="1">
      <c r="A32" s="7" t="s">
        <v>845</v>
      </c>
      <c r="B32" s="7" t="s">
        <v>1535</v>
      </c>
      <c r="C32" s="7" t="s">
        <v>1536</v>
      </c>
      <c r="D32" s="7">
        <v>63</v>
      </c>
      <c r="E32" s="7" t="s">
        <v>1513</v>
      </c>
      <c r="F32" s="7" t="s">
        <v>9</v>
      </c>
      <c r="G32" s="7" t="s">
        <v>1537</v>
      </c>
    </row>
    <row r="33" spans="1:7" ht="22.5" customHeight="1">
      <c r="A33" s="7" t="s">
        <v>845</v>
      </c>
      <c r="B33" s="7" t="s">
        <v>1538</v>
      </c>
      <c r="C33" s="7" t="s">
        <v>1539</v>
      </c>
      <c r="D33" s="7">
        <v>93</v>
      </c>
      <c r="E33" s="7" t="s">
        <v>1513</v>
      </c>
      <c r="F33" s="7" t="s">
        <v>18</v>
      </c>
      <c r="G33" s="7" t="s">
        <v>1540</v>
      </c>
    </row>
    <row r="34" spans="1:7" ht="22.5" customHeight="1">
      <c r="A34" s="7" t="s">
        <v>305</v>
      </c>
      <c r="B34" s="7" t="s">
        <v>1041</v>
      </c>
      <c r="C34" s="7" t="s">
        <v>1541</v>
      </c>
      <c r="D34" s="7">
        <v>80</v>
      </c>
      <c r="E34" s="7" t="s">
        <v>1458</v>
      </c>
      <c r="F34" s="7" t="s">
        <v>18</v>
      </c>
      <c r="G34" s="7" t="s">
        <v>1542</v>
      </c>
    </row>
    <row r="35" spans="1:7" ht="22.5" customHeight="1">
      <c r="A35" s="7" t="s">
        <v>305</v>
      </c>
      <c r="B35" s="7" t="s">
        <v>1543</v>
      </c>
      <c r="C35" s="7" t="s">
        <v>1544</v>
      </c>
      <c r="D35" s="7">
        <v>16</v>
      </c>
      <c r="E35" s="7" t="s">
        <v>1458</v>
      </c>
      <c r="F35" s="7" t="s">
        <v>9</v>
      </c>
      <c r="G35" s="7" t="s">
        <v>1545</v>
      </c>
    </row>
    <row r="36" spans="1:7" ht="22.5" customHeight="1">
      <c r="A36" s="7" t="s">
        <v>317</v>
      </c>
      <c r="B36" s="7" t="s">
        <v>1041</v>
      </c>
      <c r="C36" s="7" t="s">
        <v>1546</v>
      </c>
      <c r="D36" s="7">
        <v>32</v>
      </c>
      <c r="E36" s="7" t="s">
        <v>1458</v>
      </c>
      <c r="F36" s="7" t="s">
        <v>18</v>
      </c>
      <c r="G36" s="7" t="s">
        <v>1547</v>
      </c>
    </row>
    <row r="37" spans="1:7" ht="22.5" customHeight="1">
      <c r="A37" s="7" t="s">
        <v>317</v>
      </c>
      <c r="B37" s="7" t="s">
        <v>1543</v>
      </c>
      <c r="C37" s="7" t="s">
        <v>1548</v>
      </c>
      <c r="D37" s="7">
        <v>16</v>
      </c>
      <c r="E37" s="7" t="s">
        <v>1458</v>
      </c>
      <c r="F37" s="7" t="s">
        <v>9</v>
      </c>
      <c r="G37" s="7" t="s">
        <v>1549</v>
      </c>
    </row>
    <row r="38" spans="1:7" ht="22.5" customHeight="1">
      <c r="A38" s="7" t="s">
        <v>317</v>
      </c>
      <c r="B38" s="7" t="s">
        <v>1550</v>
      </c>
      <c r="C38" s="7" t="s">
        <v>1551</v>
      </c>
      <c r="D38" s="7">
        <v>8</v>
      </c>
      <c r="E38" s="7" t="s">
        <v>1458</v>
      </c>
      <c r="F38" s="7" t="s">
        <v>9</v>
      </c>
      <c r="G38" s="7" t="s">
        <v>1552</v>
      </c>
    </row>
    <row r="39" spans="1:7" ht="22.5" customHeight="1">
      <c r="A39" s="7" t="s">
        <v>328</v>
      </c>
      <c r="B39" s="7" t="s">
        <v>1056</v>
      </c>
      <c r="C39" s="7" t="s">
        <v>1553</v>
      </c>
      <c r="D39" s="7">
        <v>15</v>
      </c>
      <c r="E39" s="7" t="s">
        <v>1458</v>
      </c>
      <c r="F39" s="7" t="s">
        <v>1554</v>
      </c>
      <c r="G39" s="7" t="s">
        <v>1555</v>
      </c>
    </row>
    <row r="40" spans="1:7" ht="22.5" customHeight="1">
      <c r="A40" s="7" t="s">
        <v>328</v>
      </c>
      <c r="B40" s="7" t="s">
        <v>1475</v>
      </c>
      <c r="C40" s="7" t="s">
        <v>1556</v>
      </c>
      <c r="D40" s="7">
        <v>15</v>
      </c>
      <c r="E40" s="7" t="s">
        <v>1458</v>
      </c>
      <c r="F40" s="7" t="s">
        <v>1557</v>
      </c>
      <c r="G40" s="7" t="s">
        <v>1555</v>
      </c>
    </row>
    <row r="41" spans="1:7" ht="22.5" customHeight="1">
      <c r="A41" s="7" t="s">
        <v>339</v>
      </c>
      <c r="B41" s="7" t="s">
        <v>1056</v>
      </c>
      <c r="C41" s="7" t="s">
        <v>1558</v>
      </c>
      <c r="D41" s="7">
        <v>15</v>
      </c>
      <c r="E41" s="7" t="s">
        <v>1458</v>
      </c>
      <c r="F41" s="7" t="s">
        <v>1554</v>
      </c>
      <c r="G41" s="7" t="s">
        <v>1549</v>
      </c>
    </row>
    <row r="42" spans="1:7" ht="22.5" customHeight="1">
      <c r="A42" s="7" t="s">
        <v>339</v>
      </c>
      <c r="B42" s="7" t="s">
        <v>1475</v>
      </c>
      <c r="C42" s="7" t="s">
        <v>1559</v>
      </c>
      <c r="D42" s="7">
        <v>15</v>
      </c>
      <c r="E42" s="7" t="s">
        <v>1458</v>
      </c>
      <c r="F42" s="7" t="s">
        <v>1557</v>
      </c>
      <c r="G42" s="7" t="s">
        <v>1549</v>
      </c>
    </row>
    <row r="43" spans="1:7" ht="22.5" customHeight="1">
      <c r="A43" s="7" t="s">
        <v>354</v>
      </c>
      <c r="B43" s="7" t="s">
        <v>1560</v>
      </c>
      <c r="C43" s="7" t="s">
        <v>1561</v>
      </c>
      <c r="D43" s="7">
        <v>21</v>
      </c>
      <c r="E43" s="7" t="s">
        <v>1458</v>
      </c>
      <c r="F43" s="7" t="s">
        <v>18</v>
      </c>
      <c r="G43" s="7" t="s">
        <v>1562</v>
      </c>
    </row>
    <row r="44" spans="1:7" ht="22.5" customHeight="1">
      <c r="A44" s="7" t="s">
        <v>354</v>
      </c>
      <c r="B44" s="7" t="s">
        <v>1563</v>
      </c>
      <c r="C44" s="7" t="s">
        <v>1564</v>
      </c>
      <c r="D44" s="7">
        <v>21</v>
      </c>
      <c r="E44" s="7" t="s">
        <v>1458</v>
      </c>
      <c r="F44" s="7" t="s">
        <v>18</v>
      </c>
      <c r="G44" s="7" t="s">
        <v>1562</v>
      </c>
    </row>
    <row r="45" spans="1:7" ht="22.5" customHeight="1">
      <c r="A45" s="7" t="s">
        <v>354</v>
      </c>
      <c r="B45" s="7" t="s">
        <v>1565</v>
      </c>
      <c r="C45" s="7" t="s">
        <v>1566</v>
      </c>
      <c r="D45" s="7">
        <v>20</v>
      </c>
      <c r="E45" s="7" t="s">
        <v>1458</v>
      </c>
      <c r="F45" s="7" t="s">
        <v>18</v>
      </c>
      <c r="G45" s="7" t="s">
        <v>1562</v>
      </c>
    </row>
    <row r="46" spans="1:7" ht="22.5" customHeight="1">
      <c r="A46" s="7" t="s">
        <v>354</v>
      </c>
      <c r="B46" s="7" t="s">
        <v>1567</v>
      </c>
      <c r="C46" s="7" t="s">
        <v>1568</v>
      </c>
      <c r="D46" s="7">
        <v>20</v>
      </c>
      <c r="E46" s="7" t="s">
        <v>1458</v>
      </c>
      <c r="F46" s="7" t="s">
        <v>18</v>
      </c>
      <c r="G46" s="7" t="s">
        <v>1569</v>
      </c>
    </row>
    <row r="47" spans="1:7" ht="22.5" customHeight="1">
      <c r="A47" s="7" t="s">
        <v>354</v>
      </c>
      <c r="B47" s="7" t="s">
        <v>1570</v>
      </c>
      <c r="C47" s="7" t="s">
        <v>1571</v>
      </c>
      <c r="D47" s="7">
        <v>21</v>
      </c>
      <c r="E47" s="7" t="s">
        <v>1458</v>
      </c>
      <c r="F47" s="7" t="s">
        <v>18</v>
      </c>
      <c r="G47" s="7" t="s">
        <v>1572</v>
      </c>
    </row>
    <row r="48" spans="1:7" ht="22.5" customHeight="1">
      <c r="A48" s="7" t="s">
        <v>387</v>
      </c>
      <c r="B48" s="7" t="s">
        <v>1573</v>
      </c>
      <c r="C48" s="7" t="s">
        <v>1574</v>
      </c>
      <c r="D48" s="7">
        <v>18</v>
      </c>
      <c r="E48" s="7" t="s">
        <v>1458</v>
      </c>
      <c r="F48" s="7" t="s">
        <v>18</v>
      </c>
      <c r="G48" s="7" t="s">
        <v>1575</v>
      </c>
    </row>
    <row r="49" spans="1:7" ht="22.5" customHeight="1">
      <c r="A49" s="7" t="s">
        <v>387</v>
      </c>
      <c r="B49" s="7" t="s">
        <v>1576</v>
      </c>
      <c r="C49" s="7" t="s">
        <v>1577</v>
      </c>
      <c r="D49" s="7">
        <v>34</v>
      </c>
      <c r="E49" s="7" t="s">
        <v>1458</v>
      </c>
      <c r="F49" s="7" t="s">
        <v>18</v>
      </c>
      <c r="G49" s="7" t="s">
        <v>1578</v>
      </c>
    </row>
    <row r="50" spans="1:7" ht="22.5" customHeight="1">
      <c r="A50" s="7" t="s">
        <v>387</v>
      </c>
      <c r="B50" s="7" t="s">
        <v>1579</v>
      </c>
      <c r="C50" s="7" t="s">
        <v>1580</v>
      </c>
      <c r="D50" s="7">
        <v>24</v>
      </c>
      <c r="E50" s="7" t="s">
        <v>1458</v>
      </c>
      <c r="F50" s="7" t="s">
        <v>18</v>
      </c>
      <c r="G50" s="7" t="s">
        <v>1581</v>
      </c>
    </row>
    <row r="51" spans="1:7" ht="22.5" customHeight="1">
      <c r="A51" s="7" t="s">
        <v>403</v>
      </c>
      <c r="B51" s="7" t="s">
        <v>1582</v>
      </c>
      <c r="C51" s="7" t="s">
        <v>1583</v>
      </c>
      <c r="D51" s="7">
        <v>18</v>
      </c>
      <c r="E51" s="7" t="s">
        <v>1458</v>
      </c>
      <c r="F51" s="7" t="s">
        <v>18</v>
      </c>
      <c r="G51" s="7" t="s">
        <v>1584</v>
      </c>
    </row>
    <row r="52" spans="1:7" ht="22.5" customHeight="1">
      <c r="A52" s="7" t="s">
        <v>403</v>
      </c>
      <c r="B52" s="7" t="s">
        <v>1585</v>
      </c>
      <c r="C52" s="7" t="s">
        <v>1586</v>
      </c>
      <c r="D52" s="7">
        <v>19</v>
      </c>
      <c r="E52" s="7" t="s">
        <v>1458</v>
      </c>
      <c r="F52" s="7" t="s">
        <v>18</v>
      </c>
      <c r="G52" s="7" t="s">
        <v>1584</v>
      </c>
    </row>
    <row r="53" spans="1:7" ht="22.5" customHeight="1">
      <c r="A53" s="7" t="s">
        <v>403</v>
      </c>
      <c r="B53" s="7" t="s">
        <v>1587</v>
      </c>
      <c r="C53" s="7" t="s">
        <v>1588</v>
      </c>
      <c r="D53" s="7">
        <v>17</v>
      </c>
      <c r="E53" s="7" t="s">
        <v>1458</v>
      </c>
      <c r="F53" s="7" t="s">
        <v>18</v>
      </c>
      <c r="G53" s="7" t="s">
        <v>1584</v>
      </c>
    </row>
    <row r="54" spans="1:7" ht="22.5" customHeight="1">
      <c r="A54" s="7" t="s">
        <v>403</v>
      </c>
      <c r="B54" s="7" t="s">
        <v>1576</v>
      </c>
      <c r="C54" s="7" t="s">
        <v>1589</v>
      </c>
      <c r="D54" s="7">
        <v>20</v>
      </c>
      <c r="E54" s="7" t="s">
        <v>1458</v>
      </c>
      <c r="F54" s="7" t="s">
        <v>9</v>
      </c>
      <c r="G54" s="7" t="s">
        <v>1590</v>
      </c>
    </row>
    <row r="55" spans="1:7" ht="22.5" customHeight="1">
      <c r="A55" s="7" t="s">
        <v>403</v>
      </c>
      <c r="B55" s="7" t="s">
        <v>1591</v>
      </c>
      <c r="C55" s="7" t="s">
        <v>1592</v>
      </c>
      <c r="D55" s="7">
        <v>20</v>
      </c>
      <c r="E55" s="7" t="s">
        <v>1458</v>
      </c>
      <c r="F55" s="7" t="s">
        <v>9</v>
      </c>
      <c r="G55" s="7" t="s">
        <v>1593</v>
      </c>
    </row>
    <row r="56" spans="1:7" ht="22.5" customHeight="1">
      <c r="A56" s="7" t="s">
        <v>895</v>
      </c>
      <c r="B56" s="7" t="s">
        <v>1594</v>
      </c>
      <c r="C56" s="7" t="s">
        <v>1595</v>
      </c>
      <c r="D56" s="7">
        <v>25</v>
      </c>
      <c r="E56" s="7" t="s">
        <v>1458</v>
      </c>
      <c r="F56" s="7" t="s">
        <v>9</v>
      </c>
      <c r="G56" s="7" t="s">
        <v>1596</v>
      </c>
    </row>
    <row r="57" spans="1:7" ht="22.5" customHeight="1">
      <c r="A57" s="7" t="s">
        <v>895</v>
      </c>
      <c r="B57" s="7" t="s">
        <v>1597</v>
      </c>
      <c r="C57" s="7" t="s">
        <v>1598</v>
      </c>
      <c r="D57" s="7">
        <v>12</v>
      </c>
      <c r="E57" s="7" t="s">
        <v>1513</v>
      </c>
      <c r="F57" s="7" t="s">
        <v>9</v>
      </c>
      <c r="G57" s="7" t="s">
        <v>1596</v>
      </c>
    </row>
    <row r="58" spans="1:7" ht="22.5" customHeight="1">
      <c r="A58" s="7" t="s">
        <v>469</v>
      </c>
      <c r="B58" s="7" t="s">
        <v>1599</v>
      </c>
      <c r="C58" s="7" t="s">
        <v>1600</v>
      </c>
      <c r="D58" s="7">
        <v>61</v>
      </c>
      <c r="E58" s="7" t="s">
        <v>1458</v>
      </c>
      <c r="F58" s="7" t="s">
        <v>18</v>
      </c>
      <c r="G58" s="7" t="s">
        <v>1601</v>
      </c>
    </row>
    <row r="59" spans="1:7" ht="22.5" customHeight="1">
      <c r="A59" s="7" t="s">
        <v>469</v>
      </c>
      <c r="B59" s="7" t="s">
        <v>1602</v>
      </c>
      <c r="C59" s="7" t="s">
        <v>1603</v>
      </c>
      <c r="D59" s="7">
        <v>64</v>
      </c>
      <c r="E59" s="7" t="s">
        <v>1458</v>
      </c>
      <c r="F59" s="7" t="s">
        <v>18</v>
      </c>
      <c r="G59" s="7" t="s">
        <v>1601</v>
      </c>
    </row>
    <row r="60" spans="1:7" ht="22.5" customHeight="1">
      <c r="A60" s="7" t="s">
        <v>469</v>
      </c>
      <c r="B60" s="7" t="s">
        <v>1604</v>
      </c>
      <c r="C60" s="7" t="s">
        <v>1605</v>
      </c>
      <c r="D60" s="7">
        <v>53</v>
      </c>
      <c r="E60" s="7" t="s">
        <v>1458</v>
      </c>
      <c r="F60" s="7" t="s">
        <v>18</v>
      </c>
      <c r="G60" s="7" t="s">
        <v>1601</v>
      </c>
    </row>
    <row r="61" spans="1:7" ht="22.5" customHeight="1">
      <c r="A61" s="7" t="s">
        <v>469</v>
      </c>
      <c r="B61" s="7" t="s">
        <v>1606</v>
      </c>
      <c r="C61" s="7" t="s">
        <v>1607</v>
      </c>
      <c r="D61" s="7">
        <v>58</v>
      </c>
      <c r="E61" s="7" t="s">
        <v>1458</v>
      </c>
      <c r="F61" s="7" t="s">
        <v>18</v>
      </c>
      <c r="G61" s="7" t="s">
        <v>1601</v>
      </c>
    </row>
    <row r="62" spans="1:7" ht="22.5" customHeight="1">
      <c r="A62" s="7" t="s">
        <v>469</v>
      </c>
      <c r="B62" s="7" t="s">
        <v>1608</v>
      </c>
      <c r="C62" s="7" t="s">
        <v>1609</v>
      </c>
      <c r="D62" s="7">
        <v>85</v>
      </c>
      <c r="E62" s="7" t="s">
        <v>1458</v>
      </c>
      <c r="F62" s="7" t="s">
        <v>9</v>
      </c>
      <c r="G62" s="7" t="s">
        <v>1610</v>
      </c>
    </row>
    <row r="63" spans="1:7" ht="22.5" customHeight="1">
      <c r="A63" s="7" t="s">
        <v>511</v>
      </c>
      <c r="B63" s="7" t="s">
        <v>1611</v>
      </c>
      <c r="C63" s="7" t="s">
        <v>1612</v>
      </c>
      <c r="D63" s="7">
        <v>15</v>
      </c>
      <c r="E63" s="7" t="s">
        <v>1458</v>
      </c>
      <c r="F63" s="7" t="s">
        <v>1613</v>
      </c>
      <c r="G63" s="7" t="s">
        <v>1614</v>
      </c>
    </row>
    <row r="64" spans="1:7" ht="22.5" customHeight="1">
      <c r="A64" s="7" t="s">
        <v>511</v>
      </c>
      <c r="B64" s="7" t="s">
        <v>1615</v>
      </c>
      <c r="C64" s="7" t="s">
        <v>1616</v>
      </c>
      <c r="D64" s="7">
        <v>15</v>
      </c>
      <c r="E64" s="7" t="s">
        <v>1458</v>
      </c>
      <c r="F64" s="7" t="s">
        <v>1617</v>
      </c>
      <c r="G64" s="7" t="s">
        <v>1614</v>
      </c>
    </row>
    <row r="65" spans="1:7" ht="22.5" customHeight="1">
      <c r="A65" s="7" t="s">
        <v>539</v>
      </c>
      <c r="B65" s="7" t="s">
        <v>1579</v>
      </c>
      <c r="C65" s="7" t="s">
        <v>1618</v>
      </c>
      <c r="D65" s="7">
        <v>65</v>
      </c>
      <c r="E65" s="7" t="s">
        <v>1458</v>
      </c>
      <c r="F65" s="7" t="s">
        <v>18</v>
      </c>
      <c r="G65" s="7" t="s">
        <v>1619</v>
      </c>
    </row>
    <row r="66" spans="1:7" ht="22.5" customHeight="1">
      <c r="A66" s="7" t="s">
        <v>539</v>
      </c>
      <c r="B66" s="7" t="s">
        <v>1620</v>
      </c>
      <c r="C66" s="7" t="s">
        <v>1621</v>
      </c>
      <c r="D66" s="7">
        <v>65</v>
      </c>
      <c r="E66" s="7" t="s">
        <v>1458</v>
      </c>
      <c r="F66" s="7" t="s">
        <v>18</v>
      </c>
      <c r="G66" s="7" t="s">
        <v>1619</v>
      </c>
    </row>
    <row r="67" spans="1:7" ht="22.5" customHeight="1">
      <c r="A67" s="7" t="s">
        <v>539</v>
      </c>
      <c r="B67" s="7" t="s">
        <v>1622</v>
      </c>
      <c r="C67" s="7" t="s">
        <v>1623</v>
      </c>
      <c r="D67" s="7">
        <v>66</v>
      </c>
      <c r="E67" s="7" t="s">
        <v>1458</v>
      </c>
      <c r="F67" s="7" t="s">
        <v>18</v>
      </c>
      <c r="G67" s="7" t="s">
        <v>1619</v>
      </c>
    </row>
    <row r="68" spans="1:7" ht="22.5" customHeight="1">
      <c r="A68" s="7" t="s">
        <v>566</v>
      </c>
      <c r="B68" s="7" t="s">
        <v>1133</v>
      </c>
      <c r="C68" s="7" t="s">
        <v>1624</v>
      </c>
      <c r="D68" s="7">
        <v>285</v>
      </c>
      <c r="E68" s="7" t="s">
        <v>1458</v>
      </c>
      <c r="F68" s="7" t="s">
        <v>18</v>
      </c>
      <c r="G68" s="7" t="s">
        <v>1552</v>
      </c>
    </row>
    <row r="69" spans="1:7" ht="22.5" customHeight="1">
      <c r="A69" s="7" t="s">
        <v>566</v>
      </c>
      <c r="B69" s="7" t="s">
        <v>1128</v>
      </c>
      <c r="C69" s="7" t="s">
        <v>1625</v>
      </c>
      <c r="D69" s="7">
        <v>80</v>
      </c>
      <c r="E69" s="7" t="s">
        <v>1458</v>
      </c>
      <c r="F69" s="7" t="s">
        <v>18</v>
      </c>
      <c r="G69" s="7" t="s">
        <v>1552</v>
      </c>
    </row>
    <row r="70" spans="1:7" ht="22.5" customHeight="1">
      <c r="A70" s="7" t="s">
        <v>566</v>
      </c>
      <c r="B70" s="7" t="s">
        <v>1463</v>
      </c>
      <c r="C70" s="7" t="s">
        <v>1626</v>
      </c>
      <c r="D70" s="7">
        <v>80</v>
      </c>
      <c r="E70" s="7" t="s">
        <v>1458</v>
      </c>
      <c r="F70" s="7" t="s">
        <v>18</v>
      </c>
      <c r="G70" s="7" t="s">
        <v>1552</v>
      </c>
    </row>
    <row r="71" spans="1:7" ht="22.5" customHeight="1">
      <c r="A71" s="7" t="s">
        <v>582</v>
      </c>
      <c r="B71" s="7" t="s">
        <v>1627</v>
      </c>
      <c r="C71" s="7" t="s">
        <v>1628</v>
      </c>
      <c r="D71" s="7">
        <v>152</v>
      </c>
      <c r="E71" s="7" t="s">
        <v>1458</v>
      </c>
      <c r="F71" s="7" t="s">
        <v>9</v>
      </c>
      <c r="G71" s="7" t="s">
        <v>1460</v>
      </c>
    </row>
    <row r="72" spans="1:7" ht="22.5" customHeight="1">
      <c r="A72" s="7" t="s">
        <v>582</v>
      </c>
      <c r="B72" s="7" t="s">
        <v>1629</v>
      </c>
      <c r="C72" s="7" t="s">
        <v>1630</v>
      </c>
      <c r="D72" s="7">
        <v>196</v>
      </c>
      <c r="E72" s="7" t="s">
        <v>1458</v>
      </c>
      <c r="F72" s="7" t="s">
        <v>9</v>
      </c>
      <c r="G72" s="7" t="s">
        <v>1631</v>
      </c>
    </row>
    <row r="73" spans="1:7" ht="22.5" customHeight="1">
      <c r="A73" s="7" t="s">
        <v>582</v>
      </c>
      <c r="B73" s="7" t="s">
        <v>1632</v>
      </c>
      <c r="C73" s="7" t="s">
        <v>1633</v>
      </c>
      <c r="D73" s="7">
        <v>192</v>
      </c>
      <c r="E73" s="7" t="s">
        <v>1458</v>
      </c>
      <c r="F73" s="7" t="s">
        <v>9</v>
      </c>
      <c r="G73" s="7" t="s">
        <v>1634</v>
      </c>
    </row>
    <row r="74" spans="1:7" ht="22.5" customHeight="1">
      <c r="A74" s="7" t="s">
        <v>582</v>
      </c>
      <c r="B74" s="7" t="s">
        <v>1635</v>
      </c>
      <c r="C74" s="7" t="s">
        <v>1636</v>
      </c>
      <c r="D74" s="7">
        <v>347</v>
      </c>
      <c r="E74" s="7" t="s">
        <v>1458</v>
      </c>
      <c r="F74" s="7" t="s">
        <v>9</v>
      </c>
      <c r="G74" s="7" t="s">
        <v>1637</v>
      </c>
    </row>
    <row r="75" spans="1:7" ht="22.5" customHeight="1">
      <c r="A75" s="7" t="s">
        <v>582</v>
      </c>
      <c r="B75" s="7" t="s">
        <v>1638</v>
      </c>
      <c r="C75" s="7" t="s">
        <v>1639</v>
      </c>
      <c r="D75" s="7">
        <v>321</v>
      </c>
      <c r="E75" s="7" t="s">
        <v>1458</v>
      </c>
      <c r="F75" s="7" t="s">
        <v>9</v>
      </c>
      <c r="G75" s="7" t="s">
        <v>1640</v>
      </c>
    </row>
    <row r="76" spans="1:7" ht="22.5" customHeight="1">
      <c r="A76" s="7" t="s">
        <v>592</v>
      </c>
      <c r="B76" s="7" t="s">
        <v>1133</v>
      </c>
      <c r="C76" s="7" t="s">
        <v>1641</v>
      </c>
      <c r="D76" s="7">
        <v>65</v>
      </c>
      <c r="E76" s="7" t="s">
        <v>1458</v>
      </c>
      <c r="F76" s="7" t="s">
        <v>1467</v>
      </c>
      <c r="G76" s="7" t="s">
        <v>1642</v>
      </c>
    </row>
    <row r="77" spans="1:7" ht="22.5" customHeight="1">
      <c r="A77" s="7" t="s">
        <v>592</v>
      </c>
      <c r="B77" s="7" t="s">
        <v>1579</v>
      </c>
      <c r="C77" s="7" t="s">
        <v>1643</v>
      </c>
      <c r="D77" s="7">
        <v>40</v>
      </c>
      <c r="E77" s="7" t="s">
        <v>1458</v>
      </c>
      <c r="F77" s="7" t="s">
        <v>1644</v>
      </c>
      <c r="G77" s="7" t="s">
        <v>1642</v>
      </c>
    </row>
    <row r="78" spans="1:7" ht="22.5" customHeight="1">
      <c r="A78" s="7" t="s">
        <v>603</v>
      </c>
      <c r="B78" s="7" t="s">
        <v>1645</v>
      </c>
      <c r="C78" s="7" t="s">
        <v>1646</v>
      </c>
      <c r="D78" s="7">
        <v>1225</v>
      </c>
      <c r="E78" s="7" t="s">
        <v>1458</v>
      </c>
      <c r="F78" s="7" t="s">
        <v>18</v>
      </c>
      <c r="G78" s="7" t="s">
        <v>1647</v>
      </c>
    </row>
    <row r="79" spans="1:7" ht="22.5" customHeight="1">
      <c r="A79" s="7" t="s">
        <v>621</v>
      </c>
      <c r="B79" s="7" t="s">
        <v>1112</v>
      </c>
      <c r="C79" s="7" t="s">
        <v>1648</v>
      </c>
      <c r="D79" s="7">
        <v>192</v>
      </c>
      <c r="E79" s="7" t="s">
        <v>1458</v>
      </c>
      <c r="F79" s="7" t="s">
        <v>1649</v>
      </c>
      <c r="G79" s="7" t="s">
        <v>1647</v>
      </c>
    </row>
    <row r="80" spans="1:7" ht="22.5" customHeight="1">
      <c r="A80" s="7" t="s">
        <v>621</v>
      </c>
      <c r="B80" s="7" t="s">
        <v>1650</v>
      </c>
      <c r="C80" s="7" t="s">
        <v>1651</v>
      </c>
      <c r="D80" s="7">
        <v>189</v>
      </c>
      <c r="E80" s="7" t="s">
        <v>1458</v>
      </c>
      <c r="F80" s="7" t="s">
        <v>1652</v>
      </c>
      <c r="G80" s="7" t="s">
        <v>1647</v>
      </c>
    </row>
    <row r="81" spans="1:7" ht="22.5" customHeight="1">
      <c r="A81" s="7" t="s">
        <v>632</v>
      </c>
      <c r="B81" s="7" t="s">
        <v>1653</v>
      </c>
      <c r="C81" s="7" t="s">
        <v>1654</v>
      </c>
      <c r="D81" s="7">
        <v>260</v>
      </c>
      <c r="E81" s="7" t="s">
        <v>1458</v>
      </c>
      <c r="F81" s="7" t="s">
        <v>9</v>
      </c>
      <c r="G81" s="7" t="s">
        <v>1655</v>
      </c>
    </row>
    <row r="82" spans="1:7" ht="22.5" customHeight="1">
      <c r="A82" s="7" t="s">
        <v>660</v>
      </c>
      <c r="B82" s="7" t="s">
        <v>1656</v>
      </c>
      <c r="C82" s="7" t="s">
        <v>1657</v>
      </c>
      <c r="D82" s="7">
        <v>15</v>
      </c>
      <c r="E82" s="7" t="s">
        <v>1458</v>
      </c>
      <c r="F82" s="7" t="s">
        <v>9</v>
      </c>
      <c r="G82" s="7" t="s">
        <v>1658</v>
      </c>
    </row>
    <row r="83" spans="1:7" ht="22.5" customHeight="1">
      <c r="A83" s="7" t="s">
        <v>660</v>
      </c>
      <c r="B83" s="7" t="s">
        <v>1659</v>
      </c>
      <c r="C83" s="7" t="s">
        <v>1660</v>
      </c>
      <c r="D83" s="7">
        <v>18</v>
      </c>
      <c r="E83" s="7" t="s">
        <v>1458</v>
      </c>
      <c r="F83" s="7" t="s">
        <v>9</v>
      </c>
      <c r="G83" s="7" t="s">
        <v>1661</v>
      </c>
    </row>
    <row r="84" spans="1:7" ht="22.5" customHeight="1">
      <c r="A84" s="7" t="s">
        <v>660</v>
      </c>
      <c r="B84" s="7" t="s">
        <v>1662</v>
      </c>
      <c r="C84" s="7" t="s">
        <v>1663</v>
      </c>
      <c r="D84" s="7">
        <v>37</v>
      </c>
      <c r="E84" s="7" t="s">
        <v>1458</v>
      </c>
      <c r="F84" s="7" t="s">
        <v>9</v>
      </c>
      <c r="G84" s="7" t="s">
        <v>1664</v>
      </c>
    </row>
    <row r="85" spans="1:7" ht="22.5" customHeight="1">
      <c r="A85" s="7" t="s">
        <v>660</v>
      </c>
      <c r="B85" s="7" t="s">
        <v>1665</v>
      </c>
      <c r="C85" s="7" t="s">
        <v>1666</v>
      </c>
      <c r="D85" s="7">
        <v>33</v>
      </c>
      <c r="E85" s="7" t="s">
        <v>1458</v>
      </c>
      <c r="F85" s="7" t="s">
        <v>9</v>
      </c>
      <c r="G85" s="7" t="s">
        <v>1667</v>
      </c>
    </row>
    <row r="86" spans="1:7" ht="22.5" customHeight="1">
      <c r="A86" s="7" t="s">
        <v>660</v>
      </c>
      <c r="B86" s="7" t="s">
        <v>1668</v>
      </c>
      <c r="C86" s="7" t="s">
        <v>1669</v>
      </c>
      <c r="D86" s="7">
        <v>20</v>
      </c>
      <c r="E86" s="7" t="s">
        <v>1458</v>
      </c>
      <c r="F86" s="7" t="s">
        <v>9</v>
      </c>
      <c r="G86" s="7" t="s">
        <v>1506</v>
      </c>
    </row>
    <row r="87" spans="1:7" ht="22.5" customHeight="1">
      <c r="A87" s="7" t="s">
        <v>660</v>
      </c>
      <c r="B87" s="7" t="s">
        <v>1670</v>
      </c>
      <c r="C87" s="7" t="s">
        <v>1671</v>
      </c>
      <c r="D87" s="7">
        <v>32</v>
      </c>
      <c r="E87" s="7" t="s">
        <v>1458</v>
      </c>
      <c r="F87" s="7" t="s">
        <v>9</v>
      </c>
      <c r="G87" s="7" t="s">
        <v>1672</v>
      </c>
    </row>
    <row r="88" spans="1:7" ht="22.5" customHeight="1">
      <c r="A88" s="7" t="s">
        <v>713</v>
      </c>
      <c r="B88" s="7" t="s">
        <v>1056</v>
      </c>
      <c r="C88" s="7" t="s">
        <v>1673</v>
      </c>
      <c r="D88" s="7">
        <v>60</v>
      </c>
      <c r="E88" s="7" t="s">
        <v>1458</v>
      </c>
      <c r="F88" s="7" t="s">
        <v>18</v>
      </c>
      <c r="G88" s="7" t="s">
        <v>1674</v>
      </c>
    </row>
    <row r="89" spans="1:7" ht="22.5" customHeight="1">
      <c r="A89" s="7" t="s">
        <v>713</v>
      </c>
      <c r="B89" s="7" t="s">
        <v>1475</v>
      </c>
      <c r="C89" s="7" t="s">
        <v>1675</v>
      </c>
      <c r="D89" s="7">
        <v>60</v>
      </c>
      <c r="E89" s="7" t="s">
        <v>1458</v>
      </c>
      <c r="F89" s="7" t="s">
        <v>18</v>
      </c>
      <c r="G89" s="7" t="s">
        <v>1674</v>
      </c>
    </row>
    <row r="90" spans="1:7" ht="22.5" customHeight="1">
      <c r="A90" s="7" t="s">
        <v>713</v>
      </c>
      <c r="B90" s="7" t="s">
        <v>1676</v>
      </c>
      <c r="C90" s="7" t="s">
        <v>1677</v>
      </c>
      <c r="D90" s="7">
        <v>60</v>
      </c>
      <c r="E90" s="7" t="s">
        <v>1458</v>
      </c>
      <c r="F90" s="7" t="s">
        <v>18</v>
      </c>
      <c r="G90" s="7" t="s">
        <v>1674</v>
      </c>
    </row>
    <row r="91" spans="1:7" ht="22.5" customHeight="1">
      <c r="A91" s="7" t="s">
        <v>717</v>
      </c>
      <c r="B91" s="7" t="s">
        <v>1471</v>
      </c>
      <c r="C91" s="7" t="s">
        <v>1678</v>
      </c>
      <c r="D91" s="7">
        <v>40</v>
      </c>
      <c r="E91" s="7" t="s">
        <v>1458</v>
      </c>
      <c r="F91" s="7" t="s">
        <v>18</v>
      </c>
      <c r="G91" s="7" t="s">
        <v>1679</v>
      </c>
    </row>
    <row r="92" spans="1:7" ht="22.5" customHeight="1">
      <c r="A92" s="7" t="s">
        <v>717</v>
      </c>
      <c r="B92" s="7" t="s">
        <v>1680</v>
      </c>
      <c r="C92" s="7" t="s">
        <v>1681</v>
      </c>
      <c r="D92" s="7">
        <v>40</v>
      </c>
      <c r="E92" s="7" t="s">
        <v>1458</v>
      </c>
      <c r="F92" s="7" t="s">
        <v>18</v>
      </c>
      <c r="G92" s="7" t="s">
        <v>1679</v>
      </c>
    </row>
    <row r="93" spans="1:7" ht="22.5" customHeight="1">
      <c r="A93" s="7" t="s">
        <v>717</v>
      </c>
      <c r="B93" s="7" t="s">
        <v>1682</v>
      </c>
      <c r="C93" s="7" t="s">
        <v>1683</v>
      </c>
      <c r="D93" s="7">
        <v>40</v>
      </c>
      <c r="E93" s="7" t="s">
        <v>1458</v>
      </c>
      <c r="F93" s="7" t="s">
        <v>18</v>
      </c>
      <c r="G93" s="7" t="s">
        <v>1679</v>
      </c>
    </row>
    <row r="94" spans="1:7" ht="22.5" customHeight="1">
      <c r="A94" s="7" t="s">
        <v>717</v>
      </c>
      <c r="B94" s="7" t="s">
        <v>1684</v>
      </c>
      <c r="C94" s="7" t="s">
        <v>1685</v>
      </c>
      <c r="D94" s="7">
        <v>40</v>
      </c>
      <c r="E94" s="7" t="s">
        <v>1458</v>
      </c>
      <c r="F94" s="7" t="s">
        <v>18</v>
      </c>
      <c r="G94" s="7" t="s">
        <v>1679</v>
      </c>
    </row>
    <row r="95" spans="1:7" ht="22.5" customHeight="1">
      <c r="A95" s="7" t="s">
        <v>1160</v>
      </c>
      <c r="B95" s="7" t="s">
        <v>988</v>
      </c>
      <c r="C95" s="7" t="s">
        <v>1686</v>
      </c>
      <c r="D95" s="7">
        <v>16</v>
      </c>
      <c r="E95" s="7" t="s">
        <v>1458</v>
      </c>
      <c r="F95" s="7" t="s">
        <v>18</v>
      </c>
      <c r="G95" s="7" t="s">
        <v>1687</v>
      </c>
    </row>
    <row r="96" spans="1:7" ht="22.5" customHeight="1">
      <c r="A96" s="7" t="s">
        <v>900</v>
      </c>
      <c r="B96" s="7" t="s">
        <v>1172</v>
      </c>
      <c r="C96" s="7" t="s">
        <v>1688</v>
      </c>
      <c r="D96" s="7">
        <v>360</v>
      </c>
      <c r="E96" s="7" t="s">
        <v>1458</v>
      </c>
      <c r="F96" s="7" t="s">
        <v>18</v>
      </c>
      <c r="G96" s="7" t="s">
        <v>1689</v>
      </c>
    </row>
    <row r="97" spans="1:7" ht="22.5" customHeight="1">
      <c r="A97" s="7" t="s">
        <v>900</v>
      </c>
      <c r="B97" s="7" t="s">
        <v>1690</v>
      </c>
      <c r="C97" s="7" t="s">
        <v>1691</v>
      </c>
      <c r="D97" s="7">
        <v>360</v>
      </c>
      <c r="E97" s="7" t="s">
        <v>1458</v>
      </c>
      <c r="F97" s="7" t="s">
        <v>18</v>
      </c>
      <c r="G97" s="7" t="s">
        <v>1692</v>
      </c>
    </row>
    <row r="98" spans="1:7" ht="22.5" customHeight="1">
      <c r="A98" s="7" t="s">
        <v>1178</v>
      </c>
      <c r="B98" s="7" t="s">
        <v>1693</v>
      </c>
      <c r="C98" s="7" t="s">
        <v>1694</v>
      </c>
      <c r="D98" s="7">
        <v>304</v>
      </c>
      <c r="E98" s="7" t="s">
        <v>1458</v>
      </c>
      <c r="F98" s="7" t="s">
        <v>9</v>
      </c>
      <c r="G98" s="7" t="s">
        <v>1695</v>
      </c>
    </row>
    <row r="99" spans="1:7" ht="22.5" customHeight="1">
      <c r="A99" s="7" t="s">
        <v>767</v>
      </c>
      <c r="B99" s="7" t="s">
        <v>1696</v>
      </c>
      <c r="C99" s="7" t="s">
        <v>1697</v>
      </c>
      <c r="D99" s="7">
        <v>20</v>
      </c>
      <c r="E99" s="7" t="s">
        <v>1458</v>
      </c>
      <c r="F99" s="7" t="s">
        <v>18</v>
      </c>
      <c r="G99" s="7" t="s">
        <v>1698</v>
      </c>
    </row>
    <row r="100" spans="1:7" ht="22.5" customHeight="1">
      <c r="A100" s="7" t="s">
        <v>767</v>
      </c>
      <c r="B100" s="7" t="s">
        <v>1699</v>
      </c>
      <c r="C100" s="7" t="s">
        <v>1700</v>
      </c>
      <c r="D100" s="7">
        <v>20</v>
      </c>
      <c r="E100" s="7" t="s">
        <v>1458</v>
      </c>
      <c r="F100" s="7" t="s">
        <v>18</v>
      </c>
      <c r="G100" s="7" t="s">
        <v>1701</v>
      </c>
    </row>
    <row r="101" spans="1:7" ht="22.5" customHeight="1">
      <c r="A101" s="7" t="s">
        <v>767</v>
      </c>
      <c r="B101" s="7" t="s">
        <v>1702</v>
      </c>
      <c r="C101" s="7" t="s">
        <v>1703</v>
      </c>
      <c r="D101" s="7">
        <v>60</v>
      </c>
      <c r="E101" s="7" t="s">
        <v>1458</v>
      </c>
      <c r="F101" s="7" t="s">
        <v>18</v>
      </c>
      <c r="G101" s="7" t="s">
        <v>1698</v>
      </c>
    </row>
    <row r="102" spans="1:7" ht="22.5" customHeight="1">
      <c r="A102" s="7" t="s">
        <v>787</v>
      </c>
      <c r="B102" s="7" t="s">
        <v>1704</v>
      </c>
      <c r="C102" s="7" t="s">
        <v>1705</v>
      </c>
      <c r="D102" s="7">
        <v>150</v>
      </c>
      <c r="E102" s="7" t="s">
        <v>1458</v>
      </c>
      <c r="F102" s="7" t="s">
        <v>18</v>
      </c>
      <c r="G102" s="7" t="s">
        <v>1706</v>
      </c>
    </row>
    <row r="103" spans="1:7" ht="22.5" customHeight="1">
      <c r="A103" s="7" t="s">
        <v>791</v>
      </c>
      <c r="B103" s="7" t="s">
        <v>1471</v>
      </c>
      <c r="C103" s="7" t="s">
        <v>1707</v>
      </c>
      <c r="D103" s="7">
        <v>30</v>
      </c>
      <c r="E103" s="7" t="s">
        <v>1458</v>
      </c>
      <c r="F103" s="7" t="s">
        <v>18</v>
      </c>
      <c r="G103" s="7" t="s">
        <v>1642</v>
      </c>
    </row>
    <row r="104" spans="1:7" ht="22.5" customHeight="1">
      <c r="A104" s="7" t="s">
        <v>791</v>
      </c>
      <c r="B104" s="7" t="s">
        <v>1475</v>
      </c>
      <c r="C104" s="7" t="s">
        <v>1708</v>
      </c>
      <c r="D104" s="7">
        <v>39</v>
      </c>
      <c r="E104" s="7" t="s">
        <v>1458</v>
      </c>
      <c r="F104" s="7" t="s">
        <v>18</v>
      </c>
      <c r="G104" s="7" t="s">
        <v>1642</v>
      </c>
    </row>
    <row r="105" spans="1:7" ht="22.5" customHeight="1">
      <c r="A105" s="7" t="s">
        <v>791</v>
      </c>
      <c r="B105" s="7" t="s">
        <v>1478</v>
      </c>
      <c r="C105" s="7" t="s">
        <v>1709</v>
      </c>
      <c r="D105" s="7">
        <v>27</v>
      </c>
      <c r="E105" s="7" t="s">
        <v>1458</v>
      </c>
      <c r="F105" s="7" t="s">
        <v>18</v>
      </c>
      <c r="G105" s="7" t="s">
        <v>1642</v>
      </c>
    </row>
    <row r="106" spans="1:7" ht="22.5" customHeight="1">
      <c r="A106" s="7" t="s">
        <v>791</v>
      </c>
      <c r="B106" s="7" t="s">
        <v>1710</v>
      </c>
      <c r="C106" s="7" t="s">
        <v>1711</v>
      </c>
      <c r="D106" s="7">
        <v>25</v>
      </c>
      <c r="E106" s="7" t="s">
        <v>1458</v>
      </c>
      <c r="F106" s="7" t="s">
        <v>18</v>
      </c>
      <c r="G106" s="7" t="s">
        <v>1642</v>
      </c>
    </row>
    <row r="107" spans="1:7" ht="22.5" customHeight="1">
      <c r="A107" s="7" t="s">
        <v>791</v>
      </c>
      <c r="B107" s="7" t="s">
        <v>1712</v>
      </c>
      <c r="C107" s="7" t="s">
        <v>1713</v>
      </c>
      <c r="D107" s="7">
        <v>24</v>
      </c>
      <c r="E107" s="7" t="s">
        <v>1458</v>
      </c>
      <c r="F107" s="7" t="s">
        <v>18</v>
      </c>
      <c r="G107" s="7" t="s">
        <v>1642</v>
      </c>
    </row>
    <row r="108" spans="1:7" ht="22.5" customHeight="1">
      <c r="A108" s="7" t="s">
        <v>795</v>
      </c>
      <c r="B108" s="7" t="s">
        <v>1714</v>
      </c>
      <c r="C108" s="7" t="s">
        <v>1715</v>
      </c>
      <c r="D108" s="7">
        <v>145</v>
      </c>
      <c r="E108" s="7" t="s">
        <v>1458</v>
      </c>
      <c r="F108" s="7" t="s">
        <v>18</v>
      </c>
      <c r="G108" s="7" t="s">
        <v>1716</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MetaData</vt:lpstr>
      <vt:lpstr>EduardoExtraction</vt:lpstr>
      <vt:lpstr>PivotTableExplore</vt:lpstr>
      <vt:lpstr>PivotSppStudies</vt:lpstr>
      <vt:lpstr>ExtractionComplexityNotebookLM</vt:lpstr>
      <vt:lpstr>LosiaExtraction</vt:lpstr>
      <vt:lpstr>AgenticDataExtraction</vt:lpstr>
      <vt:lpstr>AgenticDataExtraction2</vt:lpstr>
      <vt:lpstr>SpeciesExtractedNotebookLM</vt:lpstr>
      <vt:lpstr>LabIdentifierNotebookLM</vt:lpstr>
      <vt:lpstr>CoauthorNetworkTable</vt:lpstr>
      <vt:lpstr>MappingTrialLevelData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Eduardo Santos</cp:lastModifiedBy>
  <dcterms:created xsi:type="dcterms:W3CDTF">2026-05-26T16:53:52Z</dcterms:created>
  <dcterms:modified xsi:type="dcterms:W3CDTF">2026-05-26T19:31:26Z</dcterms:modified>
</cp:coreProperties>
</file>