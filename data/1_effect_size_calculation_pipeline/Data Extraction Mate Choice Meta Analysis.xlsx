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eduardosantos/Documents/Repos/mate_choice_meta/data/1_effect_size_calculation_pipeline/"/>
    </mc:Choice>
  </mc:AlternateContent>
  <xr:revisionPtr revIDLastSave="0" documentId="13_ncr:1_{69AE60E6-CB2C-A642-A352-6FC7A24281DA}" xr6:coauthVersionLast="47" xr6:coauthVersionMax="47" xr10:uidLastSave="{00000000-0000-0000-0000-000000000000}"/>
  <bookViews>
    <workbookView xWindow="0" yWindow="-20980" windowWidth="38400" windowHeight="20980" activeTab="1" xr2:uid="{6DC7178C-46B5-0C45-81F9-84CEBBB229E2}"/>
  </bookViews>
  <sheets>
    <sheet name="MetaData" sheetId="1" r:id="rId1"/>
    <sheet name="EduardoExtraction" sheetId="2" r:id="rId2"/>
    <sheet name="LosiaExtractio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<sst xmlns="http://schemas.openxmlformats.org/spreadsheetml/2006/main" count="2655" uniqueCount="824">
  <si>
    <t>Variable</t>
  </si>
  <si>
    <t>Description</t>
  </si>
  <si>
    <t>Data type; options; examples of answers (separated by “/”)</t>
  </si>
  <si>
    <t>Was this variable also used by Jones and DuVal (2019)?</t>
  </si>
  <si>
    <t>Was this variable also used by Davies et al. (2020)?</t>
  </si>
  <si>
    <t>Original or amended?</t>
  </si>
  <si>
    <t>identifierExtractor</t>
  </si>
  <si>
    <t>Initials of the data extractor.</t>
  </si>
  <si>
    <t>Restricted values; ; ES/SN/LL</t>
  </si>
  <si>
    <t>No</t>
  </si>
  <si>
    <t>Original</t>
  </si>
  <si>
    <t>identifierEffectSizeID</t>
  </si>
  <si>
    <t>Effect size ID – A unique identifier for each control–experimental pair of measurements used to calculate an effect size (e.g., es0001).</t>
  </si>
  <si>
    <t>Free text; ; es0001/es0002</t>
  </si>
  <si>
    <t>Amended</t>
  </si>
  <si>
    <t>identifierStudyId</t>
  </si>
  <si>
    <t>The combination of the first author, the published year, and the published journal of the eligible study.</t>
  </si>
  <si>
    <t>Free text; ; Santos_2006_TheJournal</t>
  </si>
  <si>
    <t>Yes</t>
  </si>
  <si>
    <t>identifierStudyYear</t>
  </si>
  <si>
    <t>Year of publication of the eligible study. Use the online publication year. If the online and print publication years differ, we will use the online publication year.</t>
  </si>
  <si>
    <t>Numeric (four digits); ; 2006</t>
  </si>
  <si>
    <t>identifierStudyDoi</t>
  </si>
  <si>
    <t>Digital object identifier (DOI) of the eligible study.</t>
  </si>
  <si>
    <t>Free text; ; 10.1098/rspb.2022.2492</t>
  </si>
  <si>
    <t>taxonomySpecies</t>
  </si>
  <si>
    <t>Species (binomial nomenclature)</t>
  </si>
  <si>
    <t>Free text; ; Pan paniscus</t>
  </si>
  <si>
    <t>experimentalSpeciesOrigin</t>
  </si>
  <si>
    <t>Whether the study was conducted in the wild or in captivity. Studies in captivity maintain animals within facilities, whereas those in the wild use free-ranging animals that are not attended to.</t>
  </si>
  <si>
    <t>Restricted values; ; Captivity/Wild</t>
  </si>
  <si>
    <t>identifierExperimentId</t>
  </si>
  <si>
    <t>Unique identifier for specific experiments within a paper. Experiment IDs start with 1 within each study ID and are sequential.</t>
  </si>
  <si>
    <t>Restricted values; ; Exp001/Exp002/Exp003</t>
  </si>
  <si>
    <t>experimentalDesignType</t>
  </si>
  <si>
    <t>Experimental design type can be no pre-test, or before-and-after</t>
  </si>
  <si>
    <t>Restricted values; ; No pre-test/Before-and-after</t>
  </si>
  <si>
    <t>experimentalModelPairing</t>
  </si>
  <si>
    <t>How model individuals were assigned during the test. Manipulated pairing means that experimenters placed the demonstrator. Natural pairing means demonstrators were allowed to choose their partners.</t>
  </si>
  <si>
    <t>Restricted; ; Manipulated/Natural</t>
  </si>
  <si>
    <t>experimentalTypeCopyingMechanism</t>
  </si>
  <si>
    <t>Whether the observer was tested for Generalized Copying or Individual Copying. Generalized trials present observers with different target individuals that maintain a certain trait. Individual trials present observers with the same target individuals, just changing the audience effect.</t>
  </si>
  <si>
    <t>Restricted; Generalized/Individual</t>
  </si>
  <si>
    <t>experimentalTypeStimulus</t>
  </si>
  <si>
    <t>What type of audience/social context was presented to the observer individual</t>
  </si>
  <si>
    <t>Free text; ; Mating/Presence/Odor</t>
  </si>
  <si>
    <t>experimentalTypeChoiceTest</t>
  </si>
  <si>
    <t>Description of the choice variable.</t>
  </si>
  <si>
    <t>Free text; ; Actual mating/Association time/Touch</t>
  </si>
  <si>
    <t>experimentalTypeTestDescription</t>
  </si>
  <si>
    <t>Describe the type of mate-choice trial used by the author</t>
  </si>
  <si>
    <t>Free text; ; “To test whether the presence of a female near a male influences the mate choice decision of another female, we gave 53 focal females a choice between two identical robotic crabs, one of which had a female tethered 5 cm away (to simulate a female visiting a male).”</t>
  </si>
  <si>
    <t>experimentalTypeSex</t>
  </si>
  <si>
    <t>What was the sex of the observer/focal individual?</t>
  </si>
  <si>
    <t>Restricted values; ; Female/Male</t>
  </si>
  <si>
    <t>experimentalTypeVirgin</t>
  </si>
  <si>
    <t>Is the focal/observer individual a virgin?</t>
  </si>
  <si>
    <t>Restricted values; ; Yes/No</t>
  </si>
  <si>
    <t>experimentalModelAge</t>
  </si>
  <si>
    <t>Age of the model/demonstrator individual relative to the observer/focal.</t>
  </si>
  <si>
    <t>Restricted values; ; Older/Same-age/Younger</t>
  </si>
  <si>
    <t>effectSizeSourceDetails</t>
  </si>
  <si>
    <t>Details of the source from which the effect size was extracted</t>
  </si>
  <si>
    <t>Free text; ; Figure 3a/Third paragraph in the 2nd page/Appendix 2</t>
  </si>
  <si>
    <t>effectSizeSourceType</t>
  </si>
  <si>
    <t>Source from where the effect size was extracted</t>
  </si>
  <si>
    <t>Restricted values; ; Figure content/Figure legend/In-text/Table/Supplementary material</t>
  </si>
  <si>
    <t>effectSizeEstimateType</t>
  </si>
  <si>
    <t>Brief description of the estimate extracted. Prioritize data if presented as a sample size for each group of observer/focal individuals.</t>
  </si>
  <si>
    <t>Free text; ; Count data/Correlation coefficient/t-value/p-value/Other</t>
  </si>
  <si>
    <t>effectSizeEstimateValue</t>
  </si>
  <si>
    <t>Value of the estimate extracted</t>
  </si>
  <si>
    <t>Numeric; ; 0.5/200/1000</t>
  </si>
  <si>
    <t>effectSizeEstimateExtra</t>
  </si>
  <si>
    <t>Extra information about the estimate extracted, such as degrees of freedom or p-values</t>
  </si>
  <si>
    <t>Free text; ; df = 40, p-value = 0.049</t>
  </si>
  <si>
    <t>effectSizeEstimateNotes</t>
  </si>
  <si>
    <t>Full description of the estimate extracted</t>
  </si>
  <si>
    <t>Free text; ; Correlation coefficient is actually from a partial regression analysis</t>
  </si>
  <si>
    <t>effectSizeSampleSizeA</t>
  </si>
  <si>
    <t>The number of observers choosing the individual associated with social information.</t>
  </si>
  <si>
    <t>effectSizeSampleSizeB</t>
  </si>
  <si>
    <t>The number of observers choosing the individual NOT associated with social information.</t>
  </si>
  <si>
    <t>effectSizeSampleSizeC</t>
  </si>
  <si>
    <t>The number of control individuals (i.e., individuals that did not witness the model’s choice) that made the same choice as the model.</t>
  </si>
  <si>
    <t>effectSizeSampleSizeD</t>
  </si>
  <si>
    <t>The number of controls that did not choose the same as the model.</t>
  </si>
  <si>
    <t>effectSizesampleSize</t>
  </si>
  <si>
    <t>Sample size as the number of individuals. This is the total sample size grouping all focal/observer individuals used in the trial.</t>
  </si>
  <si>
    <t>Numeric; ; 15/42/73</t>
  </si>
  <si>
    <t>descritionStudyComplexity</t>
  </si>
  <si>
    <t>Level of the complexity of the study design and analytical methods - to be used as a proxy of effort/expertise needed to extract the data.</t>
  </si>
  <si>
    <t>Restricted values; ; Easy/Moderate/Hard</t>
  </si>
  <si>
    <t>descriptionGeneralNote</t>
  </si>
  <si>
    <t>Relevant notes on the extraction.</t>
  </si>
  <si>
    <t>Free text; ; I don't know if this metric can be used to calculate an effect size.</t>
  </si>
  <si>
    <t>effectSizeDirection</t>
  </si>
  <si>
    <t>Direction of the effect, as reported or inferred from the study. Indicates whether the result is consistent with mate-choice copying, opposite to copying, or inconclusive.</t>
  </si>
  <si>
    <t>Free text; ; MCC/Little evidence of MCC/Significant mate-choice copying</t>
  </si>
  <si>
    <t>controlMean</t>
  </si>
  <si>
    <t>Mean value of the outcome variable in the control condition (e.g., Phase 1 baseline, no-model group, or non-copying condition).</t>
  </si>
  <si>
    <t>Numeric; ; 0.25/134.75/313</t>
  </si>
  <si>
    <t>controlSD</t>
  </si>
  <si>
    <t>Standard deviation of the outcome variable in the control condition. Derived from SE×√n if not reported directly.</t>
  </si>
  <si>
    <t>Numeric; ; 0.13/112.9/104.1</t>
  </si>
  <si>
    <t>controlSE</t>
  </si>
  <si>
    <t>Standard error of the mean for the outcome variable in the control condition.</t>
  </si>
  <si>
    <t>Numeric; ; 0.03/26.6/19</t>
  </si>
  <si>
    <t>controlN</t>
  </si>
  <si>
    <t>Sample size (number of individuals) in the control condition.</t>
  </si>
  <si>
    <t>Numeric; ; 17/19/30</t>
  </si>
  <si>
    <t>treatmentMean</t>
  </si>
  <si>
    <t>Mean value of the outcome variable in the treatment condition (e.g., Phase 2 post-observation, model group, or copying condition).</t>
  </si>
  <si>
    <t>Numeric; ; 0.27/427.17/224</t>
  </si>
  <si>
    <t>treatmentSD</t>
  </si>
  <si>
    <t>Standard deviation of the outcome variable in the treatment condition. Derived from SE×√n if not reported directly.</t>
  </si>
  <si>
    <t>Numeric; ; 0.24/112.9/99.9</t>
  </si>
  <si>
    <t>treatmentSE</t>
  </si>
  <si>
    <t>Standard error of the mean for the outcome variable in the treatment condition.</t>
  </si>
  <si>
    <t>Numeric; ; 0.05/26.6/16</t>
  </si>
  <si>
    <t>treatmentN</t>
  </si>
  <si>
    <t>Sample size (number of individuals) in the treatment condition.</t>
  </si>
  <si>
    <t>Numeric; ; 18/23/39</t>
  </si>
  <si>
    <t>effectSizeDataTypeForCalculation</t>
  </si>
  <si>
    <t>Classifies the raw data type used to calculate the effect size (continuous or binary/count). Determines whether Hedges' D or Odds Ratio is the appropriate effect size metric.</t>
  </si>
  <si>
    <t>Restricted values; ; Continuous/Binary</t>
  </si>
  <si>
    <t>effectSizeCalculatedHedgesD</t>
  </si>
  <si>
    <t>Calculated Hedges' D (bias-corrected standardised mean difference, g) effect size estimate for continuous outcome data.</t>
  </si>
  <si>
    <t>Numeric; ; 0.79/−0.87/2.10</t>
  </si>
  <si>
    <t>effectSizeCalculatedHedgesDVariance</t>
  </si>
  <si>
    <t>Variance of the calculated Hedges' D effect size, used as the sampling variance in meta-analytic models.</t>
  </si>
  <si>
    <t>Numeric; ; 0.104/0.064/0.167</t>
  </si>
  <si>
    <t>effectSizeHedgesDHowCalculated</t>
  </si>
  <si>
    <t>Description of how the Hedges' D effect size was calculated, including the formula used, data sources, and any assumptions made.</t>
  </si>
  <si>
    <t>Free text; ; g from 2-sample t (t=6.123, n=18/phase, df=34); Phase1 sm male=196.78s (Fig3); SP from t; g=d×J</t>
  </si>
  <si>
    <t>effectSizeCalculatedOddsRatio</t>
  </si>
  <si>
    <t>Calculated Odds Ratio effect size estimate for binary/count outcome data.</t>
  </si>
  <si>
    <t>Numeric; ; 1.5/3.2/0.8</t>
  </si>
  <si>
    <t>effectSizeCalculatedOddsRatioVariance</t>
  </si>
  <si>
    <t>Variance of the log Odds Ratio, used as the sampling variance in meta-analytic models.</t>
  </si>
  <si>
    <t>Numeric; ; 0.25/0.41/0.12</t>
  </si>
  <si>
    <t>effectSizeOddsRatioHowCalculated</t>
  </si>
  <si>
    <t>Description of how the Odds Ratio was calculated, including the 2×2 table cells used (A, B, C, D) and any corrections applied (e.g., 50/50 rule for missing control counts).</t>
  </si>
  <si>
    <t>Free text; ; OR=(A×D)/(B×C); A=exp chose copied male, B=exp chose other, C=ctrl chose same, D=ctrl chose other</t>
  </si>
  <si>
    <t>InformationCheckedColumnsFilled</t>
  </si>
  <si>
    <t>Flag indicating whether the extraction row has been reviewed and all applicable columns have been filled in.</t>
  </si>
  <si>
    <t>Restricted values; ; Yes/No/Partial</t>
  </si>
  <si>
    <t>RemoveFromDataset</t>
  </si>
  <si>
    <t>Flag indicating whether this row should be excluded from the final meta-analytic dataset, with a brief reason if applicable.</t>
  </si>
  <si>
    <t>Free text; ; Yes – duplicate/No/Yes – pilot data</t>
  </si>
  <si>
    <t>ES</t>
  </si>
  <si>
    <t>es0001</t>
  </si>
  <si>
    <t>Araújo_2024_RoyalSocietyOpenScience</t>
  </si>
  <si>
    <t>10.1098/rsos.240408</t>
  </si>
  <si>
    <t>Drosophila melanogaster</t>
  </si>
  <si>
    <t>Captivity</t>
  </si>
  <si>
    <t>Exp001</t>
  </si>
  <si>
    <t>No pre-test</t>
  </si>
  <si>
    <t>Natural</t>
  </si>
  <si>
    <t>Generalized</t>
  </si>
  <si>
    <t>Copulation</t>
  </si>
  <si>
    <t>Mating</t>
  </si>
  <si>
    <t>The experimental device. The device used in mate-copying experiments consists of two adjacent tubes separated by a see-through glass slide. The observer female is placed in the tube on the right, which is closed by another glass slide in front of a picture of a female copulating with one of two males. After the demonstrations, the picture is covered and males are introduced through the left-side tube. The mate choice test starts when the slide partitioning of the two tubes is removed, and the flies are allowed to interact.</t>
  </si>
  <si>
    <t>Female</t>
  </si>
  <si>
    <t>Same-age</t>
  </si>
  <si>
    <t>In-text and figure</t>
  </si>
  <si>
    <t>Page 4, 1st paragraph of Result section. The proportion was extracted from Fig 3</t>
  </si>
  <si>
    <t>binomial test inferential statistics</t>
  </si>
  <si>
    <t>n = 64, p = 0.06</t>
  </si>
  <si>
    <t>These are calculated by multiplying the proportion by the sample size and rounding to the nearest integer. Observer females chose more the male associated with the demonstrator.</t>
  </si>
  <si>
    <t>Little evidence of mate-choice copying</t>
  </si>
  <si>
    <t>Easy</t>
  </si>
  <si>
    <t>Count data</t>
  </si>
  <si>
    <t>Data from experiment Main Treatment 1. Note that data comes from both text and Figure 3. Females copy the behavior of the model females from first trial, and not the most recent one.</t>
  </si>
  <si>
    <t>[converted from OR] d=ln(OR)×√3/π×J; OR=0.6, Var(logOR)=0.1067, n=64, J=0.988</t>
  </si>
  <si>
    <t>OR=(A×D)/(B×C); Var(logOR)=1/A+1/B+1/C+1/D; A=24.0,B=40.0,C=50.0,D=50.0</t>
  </si>
  <si>
    <t>es0002</t>
  </si>
  <si>
    <t>Exp002</t>
  </si>
  <si>
    <t>n = 74, p = 0.047</t>
  </si>
  <si>
    <t>Significant mate-choice copying</t>
  </si>
  <si>
    <t>Data from experiment Control 1. Note that data comes from both text and Figure 3</t>
  </si>
  <si>
    <t>[converted from OR] d=ln(OR)×√3/π×J; OR=1.6429, Var(logOR)=0.0975, n=74, J=0.9897</t>
  </si>
  <si>
    <t>OR=(A×D)/(B×C); Var(logOR)=1/A+1/B+1/C+1/D; A=46.0,B=28.0,C=50.0,D=50.0</t>
  </si>
  <si>
    <t>es0003</t>
  </si>
  <si>
    <t>Exp003</t>
  </si>
  <si>
    <t>n = 62, p = 0.05</t>
  </si>
  <si>
    <t>Data from experiment Control 2. Note that data comes from both text and Figure 3</t>
  </si>
  <si>
    <t>[converted from OR] d=ln(OR)×√3/π×J; OR=1.68, Var(logOR)=0.1038, n=67, J=0.9886</t>
  </si>
  <si>
    <t>OR=(A×D)/(B×C); Var(logOR)=1/A+1/B+1/C+1/D; A=42.0,B=25.0,C=50.0,D=50.0</t>
  </si>
  <si>
    <t>es0004</t>
  </si>
  <si>
    <t>Belkina_2021_AnimalBehaviour</t>
  </si>
  <si>
    <t>10.1016/j.anbehav.2021.04.007</t>
  </si>
  <si>
    <t>We began each mate choice test by placing one female in each of the tubes (chambers) and then placing one blue and one pink male into the larger demonstration chamber with the female. Males were given 10 min to initiate courtship. If neither male initiated courtship within 10 min, they were removed and replaced by a new set of males. If either of the males displayed courtship behaviour, they were given an additional 20 min for copulation. If copulation failed to take place, the males were again replaced by a new set of males. If successful copulation occurred, the observer female was allowed to observe for the entire duration of the copulation event, usually between 20 and 30 min. Upon completion, the mated pair and the unsuccessful male were removed, and the observer female was transferred into the demonstration chamber along with two new males. A new female was placed into the observation chamber and the same procedure was repeated. If this demonstrator female, which was initially the observer, ultimately failed to copulate, the mate choice test was discarded and begun anew.</t>
  </si>
  <si>
    <t>Table</t>
  </si>
  <si>
    <t>Table 1, page 178</t>
  </si>
  <si>
    <t>Count data of results of mating by type of observer and demonstrator choice</t>
  </si>
  <si>
    <t>NA</t>
  </si>
  <si>
    <t xml:space="preserve">To get the sample size for each combination (A, B, C, D), it was necessary to add positive outcomes (Observer choice = Demonstrator choice; [Oblue = Dblue]+[Opink = Dpink]), and all complementary (Observer choice &lt;&gt; Demonstrator choice), and the controls. All of these are available in Table 1. </t>
  </si>
  <si>
    <t>I could have used the information of the inferential test in the second paragraph of the Result secion in page 178, but opted to use the sample sizes.</t>
  </si>
  <si>
    <t>[converted from OR] d=ln(OR)×√3/π×J; OR=0.9857362, Var(logOR)=0.04492793, n=368, J=0.998</t>
  </si>
  <si>
    <t>epitools::oddsratio()</t>
  </si>
  <si>
    <t>es0005</t>
  </si>
  <si>
    <t>Bierbach_2011_BehavioralEcologyAndSociobiology</t>
  </si>
  <si>
    <t>10.1007/s00265-011-1177-3</t>
  </si>
  <si>
    <t>Poecilia mexicana</t>
  </si>
  <si>
    <t>Before-and-after</t>
  </si>
  <si>
    <t>Individual</t>
  </si>
  <si>
    <t>Association</t>
  </si>
  <si>
    <t>Association time</t>
  </si>
  <si>
    <t>Treatment 2 was similar to previous mate copying tests in P. latipinna (Schlupp and Ryan 1997). Again, two Plexiglas cylinders were placed in the front portion of both females’ compartments (see above), but we now introduced one model male per cylinder, so the focal male could observe a model male visually interact with the formerly non-preferred female but was prevented from seeing the other male interact with the formerly preferred female. The stimulus females resided in the back half of their compartments throughout the observation phase, as we prevented them from moving behind the cylinder containing the model male by fitting green artificial aquarium plants into the gap between the cylinder and the rear aquarium wall.</t>
  </si>
  <si>
    <t>Male</t>
  </si>
  <si>
    <t>Figure</t>
  </si>
  <si>
    <t>Figure 3</t>
  </si>
  <si>
    <t>The "Copying Score" on the Y-axis represents the change in a male's preference for an initially non-preferred female after observing a model male interact with her. Positive values indicate an increase in preference (copying)</t>
  </si>
  <si>
    <t>Control copying score = 0.11. P = 0.033, SE = 0.05</t>
  </si>
  <si>
    <t>Effect sizes (copying index from the bars in Figure 3). Samples sizes from the t-test DF in the text on page 1703.</t>
  </si>
  <si>
    <t>Mean difference</t>
  </si>
  <si>
    <t>If necessary, look for the control group information that is in the effectSizeEstimateExtra column</t>
  </si>
  <si>
    <t>g from Fig 3 means±SE (Tr2 vs Ctrl). Ctrl SE visually ~0.03. SD=SE×√n; SP pooled; g=d×J (df=40)</t>
  </si>
  <si>
    <t>[converted from Hedges' D] logOR=g×π/√3; g=0.7917, Var(g)=0.1039</t>
  </si>
  <si>
    <t>es0006</t>
  </si>
  <si>
    <t>To allow physical interactions between the model male and the formerly non-preferred female, we introduced the model male without a Plexiglas cylinder into the partition of the formerly non-preferred female (treatment 3). Hence, the model male could interact sexually with the stimulus female.</t>
  </si>
  <si>
    <t>Control copying score = 0.11. P = 0.374, SE = 0.04</t>
  </si>
  <si>
    <t>g from Fig 3 means±SE (Tr3 vs Ctrl). Ctrl SE visually ~0.03. SD=SE×√n; SP pooled; g=d×J (df=37)</t>
  </si>
  <si>
    <t>[converted from Hedges' D] logOR=g×π/√3; g=0.4359, Var(g)=0.1052</t>
  </si>
  <si>
    <t>es0007</t>
  </si>
  <si>
    <t>Cirino_2023_AnimalBehaviour</t>
  </si>
  <si>
    <t>10.1016/j.anbehav.2023.03.018</t>
  </si>
  <si>
    <t>Enchenopa binotata</t>
  </si>
  <si>
    <t>Acoustic stimuli</t>
  </si>
  <si>
    <t>Female response (sound)</t>
  </si>
  <si>
    <t>We randomly assigned females to one of the six treatments: attractive male signal (185 Hz) receiving either a long (N 1⁄4 25) or short (N 1⁄4 25) female response or no response (N 1⁄4 25); or unattractive male signal (150 Hz) receiving either a long (N 1⁄4 25) or short (N 1⁄4 25) female response or no response (N 1⁄4 24) (Fig. 1). We tested females when they became sexually receptive, 3.5e5 weeks  after adult eclosion. To start a trial, we placed a single female on a playback plant and assessed her receptivity by playing a primer (a recording of a male signal closely matching the population mean) up to four times. If the female did not respond, we placed her back onto the rearing plant and tested her again up to 4 days later. If the female responded, we delivered the preference function and treatment playbacks described above (Fig. 1).</t>
  </si>
  <si>
    <t>Figure 5, page 143</t>
  </si>
  <si>
    <t>Mean intensity of female responses to sound stimuli by type of treatment on unatrractive males (150 Hz)</t>
  </si>
  <si>
    <t>treatment mean = 0.75, SE = 0.15, n = 25; control mean = 0.8, SE = 0.12, n = 24</t>
  </si>
  <si>
    <t>Sample size here is number of females</t>
  </si>
  <si>
    <t>Hard</t>
  </si>
  <si>
    <t>Extracted mean +/- SE from Figure 5</t>
  </si>
  <si>
    <t>g=(treat-ctrl)/SP×J; SD=SE×√n; n_ctrl=24, n_treat=25</t>
  </si>
  <si>
    <t>[converted from Hedges' D] logOR=g×π/√3; g=-0.0728, Var(g)=0.0817</t>
  </si>
  <si>
    <t>es0008</t>
  </si>
  <si>
    <t>Mean intensity of female responses to sound stimuli by type of treatment on atrractive males (185 Hz)</t>
  </si>
  <si>
    <t>treatment mean = 2.55, SE = 0.2, n = 25; control mean = 2.25, SE = 0.15, n = 25</t>
  </si>
  <si>
    <t>g=(treat-ctrl)/SP×J; SD=SE×√n; n_ctrl=25, n_treat=25</t>
  </si>
  <si>
    <t>[converted from Hedges' D] logOR=g×π/√3; g=0.3341, Var(g)=0.0812</t>
  </si>
  <si>
    <t>es0009</t>
  </si>
  <si>
    <t>Clemente_2012_UniversidadeLisboa</t>
  </si>
  <si>
    <t>In this protocol a virgin observer female, placed in a small plastic tube (the central vial in Figure 2), was given the opportunity to observe the mating choices of other females. The demonstrator couples were placed in a second tube (on one of the peripheral tubes in Figure 2), adjacent to first one and separated from it by a microscope cover glass. Two distinct male phenotypes were created by artificially dusting them with pink or green powders. These males were then used alternately in two types of demonstrations: positive and negative. For positive demonstrations, a male of one phenotype was placed, for one hour, with a virgin female that was receptive for copulation. The occurrence of copulation during this period provided positive social information about the male attractiveness to the observer female.</t>
  </si>
  <si>
    <t>In-text and table</t>
  </si>
  <si>
    <t>In-text, final paragraph of page 22, and Table 9</t>
  </si>
  <si>
    <t>Proportion of correct choices (observer chose the male phenotype chosen by demonstrator)</t>
  </si>
  <si>
    <t>Wald statistics = 1.55627, p = 212212</t>
  </si>
  <si>
    <t>Proportion of correct choices (copying behavior being correct, by the author)</t>
  </si>
  <si>
    <t>Medium</t>
  </si>
  <si>
    <t>Sample size here seems to be 92, from Table 9, but it is reported wrongly as 29.</t>
  </si>
  <si>
    <t>[converted from OR] d=ln(OR)×√3/π×J; OR=1.3, Var(logOR)=0.0877, n=92, J=0.9917</t>
  </si>
  <si>
    <t>OR=(A×D)/(B×C); Var(logOR)=1/A+1/B+1/C+1/D; A=52.0,B=40.0,C=46.0,D=46.0</t>
  </si>
  <si>
    <t>es0010</t>
  </si>
  <si>
    <t>Duffy_2025_AnimalBehaviour</t>
  </si>
  <si>
    <t>10.1016/j.anbehav.2025.123148</t>
  </si>
  <si>
    <t>Brachyrhaphis rhabdophora</t>
  </si>
  <si>
    <t>Other studies have randomly assigned individuals to be tested once (no baseline preference) in separate control and social treatment groups to compare the mean ‘strength of preference’ (SOP) between groups, as we do here. Observers underwent a dichotomous mate choice test after observing either social information from demonstrators (nonindependent mate choice; N 1⁄4 23) or no social information (control; N 1⁄4 12).</t>
  </si>
  <si>
    <t>Page 5, first paragraph of result section, and Table 1.</t>
  </si>
  <si>
    <t>Strength of Preference (SOP) score for control and treatment groups.</t>
  </si>
  <si>
    <t>SOP values (SDs, Ns): Control: 79.19 (4.9%; n = 12); Treatment: 80.55 (3.4%; n = 21)</t>
  </si>
  <si>
    <t>We have information on effect sizes (SOP), SDs and sample sizes (from Methods, page 2, end of 2nd column)</t>
  </si>
  <si>
    <t>This paper has a control and treatment design with the estimated association time for each group.</t>
  </si>
  <si>
    <t>g=(treat-ctrl)/SP×J; n_ctrl=12, n_treat=21</t>
  </si>
  <si>
    <t>[converted from Hedges' D] logOR=g×π/√3; g=0.3319, Var(g)=0.1327</t>
  </si>
  <si>
    <t>es0011</t>
  </si>
  <si>
    <t>Harrison-Weiss_2024_McMasterUniversity</t>
  </si>
  <si>
    <t>Porichthys notatus</t>
  </si>
  <si>
    <t>Spawning information</t>
  </si>
  <si>
    <t>After the tubes had been inserted, one fecund focal female  (n=24) was added to each tank and given up to three days to spawn with either the male in the  nest with an empty tube or the size-matched male in the nest with a tube containing a stimulus  female. We recorded when the focal female laid eggs in either nest. If the focal female had not  spawned after three days, she was removed from the tank and replaced with a new fecund  female.</t>
  </si>
  <si>
    <t>In-text</t>
  </si>
  <si>
    <t>First paragraph result section, page 30</t>
  </si>
  <si>
    <t>Count data of results of spawning by type of observer and demonstrator choice</t>
  </si>
  <si>
    <t>To calculate each combination (A, B, C, and D) it is necessary to use the total sample size and subtract one of the groups from the total</t>
  </si>
  <si>
    <t>This study has at least 3 effect sizes. Little description of the characteristics of focal individuals</t>
  </si>
  <si>
    <t>[converted from OR] d=ln(OR)×√3/π×J; OR=0.5, Var(logOR)=0.3542, n=48, J=0.984</t>
  </si>
  <si>
    <t>OR=(A×D)/(B×C); Var(logOR)=1/A+1/B+1/C+1/D; A=8.0,B=16.0,C=12.0,D=12.0</t>
  </si>
  <si>
    <t>es0012</t>
  </si>
  <si>
    <t>Presence of eggs in nest</t>
  </si>
  <si>
    <t>To determine whether females use eggs as a cue for mate choice copying, we conducted a  second experiment. We used an identical tank set-up as the one employed in Experiment 1.</t>
  </si>
  <si>
    <t>[converted from OR] d=ln(OR)×√3/π×J; OR=1.0, Var(logOR)=0.3077, n=52, J=0.9852</t>
  </si>
  <si>
    <t>OR=(A×D)/(B×C); Var(logOR)=1/A+1/B+1/C+1/D; A=13.0,B=13.0,C=13.0,D=13.0</t>
  </si>
  <si>
    <t>es0013</t>
  </si>
  <si>
    <t>Next, we brought the largest of the two observer females across the  barrier and gave her access to the two guarder males. This focal female was then given up to  three days to either spawn with the same male as the demonstrator female (treatment) or the  other male not chosen by the demonstrator female (control). After the first observer female had  spawned, she was removed and the second observer female was moved across the barrier and  given the opportunity to spawn.</t>
  </si>
  <si>
    <t>Bottom of paragraph in result section, page 30</t>
  </si>
  <si>
    <t>[converted from OR] d=ln(OR)×√3/π×J; OR=3.0, Var(logOR)=0.3889, n=48, J=0.984</t>
  </si>
  <si>
    <t>OR=(A×D)/(B×C); Var(logOR)=1/A+1/B+1/C+1/D; A=18.0,B=6.0,C=12.0,D=12.0</t>
  </si>
  <si>
    <t>es0014</t>
  </si>
  <si>
    <t>Harrison-Weiss_2025_AnimalBehaviour</t>
  </si>
  <si>
    <t>10.1016/j.anbehav.2025.123292</t>
  </si>
  <si>
    <t>Same data as in Harrison-Weiss_2024_Unknown</t>
  </si>
  <si>
    <t>es0015</t>
  </si>
  <si>
    <t>Huckvale_2016_UniversityOfExeter</t>
  </si>
  <si>
    <t>Poecilia reticulata</t>
  </si>
  <si>
    <t>"Female guppies underwent a conditioning phase (8 days, colour cue associated with high-quality male location) followed by a testing phase: Stage 1 = observer's spontaneous zone preference; Stage 2 = observer watches demonstrator female make the opposite zone choice; Stage 3 = observer retested. Three starvation treatments: 0-hr, 24-hr, 48-hr deprivation. GLMM used to test effects of demonstrator, treatment, conditioning, and colour on time spent in each zone."</t>
  </si>
  <si>
    <t>"Table 6, page 58. GLMM results after modular reduction."</t>
  </si>
  <si>
    <t>GLMM Chi-squared (likelihood ratio test) for demonstrator effect</t>
  </si>
  <si>
    <t>"ChiSq=2.5325, df=2, p=0.2819 for demonstrator effect alone. Interaction demonstrator×treatment: ChiSq=12.938, df=6, p=0.044 (but unreliable — 48-hr group n=1 in demonstrator-favoured cell). GLMM estimate for demonstrator: -61.999 (SE=46.718)."</t>
  </si>
  <si>
    <t>"Conditioning phase failed (females formed no significant colour-cue association). Main MCC effect not significant. Significant interaction driven by a single observation in 48-hr group (no SE bar in Figure 13). Overall direction: non-starved (0-hr) females spend MORE time in zones NOT favoured by demonstrator — anti-copying pattern."</t>
  </si>
  <si>
    <t>Inferential statistics</t>
  </si>
  <si>
    <t>"Unpublished MbyRes thesis. Conditioning phase was unsuccessful — females did not form the intended asocial preference. The testing phase proceeded regardless but lacks a validated asocial baseline. The significant GLMM interaction (p=0.044) is extremely unreliable due to n=1 in the 48-hr starvation group's demonstrator-favoured cell. This study may warrant exclusion from the meta-analysis due to failed conditioning, unusual design, and extremely small group sizes."</t>
  </si>
  <si>
    <t>es0016</t>
  </si>
  <si>
    <t>Kavaliers_2019_HormonesAndBehavior</t>
  </si>
  <si>
    <t>10.1016/j.yhbeh.2019.04.016</t>
  </si>
  <si>
    <t>Mus musculus</t>
  </si>
  <si>
    <t>Odour stimuli</t>
  </si>
  <si>
    <t>The odor sources (n = 10, for each condition) for pre-exposure were bedding (50 g) of either an: (i) uninfected male (A) + uninfected estrous female; (ii) male (A) + H. polygyrus infected estrous female; (iii) male (A) + uninfected non-estrous female; (iv) male (A) + restraint stressed female. Females were restraint stressed by being placed in a sealed vented tube (10 cm × 3 cm) that included bedding that was used as the odor source for exposures. The male stimulus odors for the preference tests were the odors of a familiar male (familiar male A) associated with female odor versus unfamiliar uninfected male (unfamiliar male B), with the natural expected preference being for unfamiliar males (Choleris et al., 2009). Urine was collected and presented as described in Experiment 1. In control studies determination were made of the effects of pre exposure to the odors of: (i) Male A alone; (ii) Uninfected estrous female alone; (ii) Infected estrous female alone on familiar Male A - unfamiliar Male B preferences.</t>
  </si>
  <si>
    <t>Figure 3, first column on the left</t>
  </si>
  <si>
    <t>Proportion of females that chose the male with an associated female odor</t>
  </si>
  <si>
    <t>Proportion of females that chose the male with the female demonstrator odor</t>
  </si>
  <si>
    <t>To calculate each combination (A, B, C, and D) it is necessary to use the total sample size (N = 10) and multiply the proportion that chose + (0.83), and chose negative (0.17)</t>
  </si>
  <si>
    <t>Information extracted from one of the treatments from Figure 3. Did not use the other treatments as they manipulate infection and stress state.</t>
  </si>
  <si>
    <t>[converted from OR] d=ln(OR)×√3/π×J; OR=4.0, Var(logOR)=1.025, n=10, J=0.9143</t>
  </si>
  <si>
    <t>OR=(A×D)/(B×C); Var(logOR)=1/A+1/B+1/C+1/D; A=8.0,B=2.0,C=5.0,D=5.0</t>
  </si>
  <si>
    <t>es0017</t>
  </si>
  <si>
    <t>Kavaliers_2022_AnimalCognition</t>
  </si>
  <si>
    <t>10.1007/s10071-021-01550-z</t>
  </si>
  <si>
    <t>The odor choices (n = 8, in all cases) provided to estrous female mice on Day 1 were: (1) Male B + no female (blank filter paper) vs Male A; (2) Male B + familiar and kin (sibling) female vs Male A; (3) Male B + familiar/non-kin female vs Male A; (4) Male B + unfamiliar/non-kin female vs Male A. Twenty-four hours later (Day 2), odor preferences were again determined, without any accompanying female odor in the stimulus odor pairs. On Day 1, the male odor sources “A” and “B” came from equivalent non-kin unfamiliar males. On Day 2, Male “B” odor was the same as on Day 1, while Male “A” odor was from a male different from that used on Day 1. The unfamiliar Male A was used to increase the power of discrimination, in that estrous female mice show an enhanced discrimination of, and preference for unfamiliar males (Kavaliers et al. 2003).</t>
  </si>
  <si>
    <t>Figure 3, both bars from trials on day 1</t>
  </si>
  <si>
    <t>Proportion trial that chose social information (0.72); proportion of control that chose (0.54)</t>
  </si>
  <si>
    <t>To calculate each combination (A, B, C, and D) it is necessary to use the total sample size (N = 8) and multiply the proportion that chose + (0.72), and chose negative (0.28)</t>
  </si>
  <si>
    <t>Used information from Figure 3, which is the trial that compares males with no social information to males that have social information of odor of estrous unfamiliar females</t>
  </si>
  <si>
    <t>[converted from OR] d=ln(OR)×√3/π×J; OR=3.0, Var(logOR)=1.1667, n=16, J=0.9492</t>
  </si>
  <si>
    <t>OR=(A×D)/(B×C); Var(logOR)=1/A+1/B+1/C+1/D; A=6.0,B=2.0,C=4.0,D=4.0</t>
  </si>
  <si>
    <t>es0018</t>
  </si>
  <si>
    <t>Kniel_2015_FrontiersInZoology</t>
  </si>
  <si>
    <t>10.1186/s12983-015-0119-8</t>
  </si>
  <si>
    <t>Taeniopygia guttata castanotis</t>
  </si>
  <si>
    <t>During the observation period, which lasted 2 h, females could observe a new, single unadorned male in one cage and a pair of zebra finches, a new adorned male and his wild-type female mate separated by a screen, in the other cage</t>
  </si>
  <si>
    <t>Page 3, Section "Treatment One": Females preferred adorned over unadorned males during the second mate-choice test (one-sample t-test: t = −2.323, df = 14, p = 0.036).</t>
  </si>
  <si>
    <t>One-sample t-test result</t>
  </si>
  <si>
    <t>df = 14, p = 0.036</t>
  </si>
  <si>
    <t>Direction of test confirms that observer females chose the males that were associated with the social stimuli</t>
  </si>
  <si>
    <t>g=t/√n×J; paired/one-sample t=-2.323, n=15</t>
  </si>
  <si>
    <t>[converted from Hedges' D] logOR=g×π/√3; g=-0.5671, Var(g)=0.0782</t>
  </si>
  <si>
    <t>es0019</t>
  </si>
  <si>
    <t>Kniel_2017_Ethology</t>
  </si>
  <si>
    <t>10.1111/eth.12611</t>
  </si>
  <si>
    <t>In treatment one, one cage contained a single unadorned male  and the other contained a pair of zebra finches that were both artificially adorned with a red feather, the model female and her mate.</t>
  </si>
  <si>
    <t>Page 415, Result section: "but they showed a preference  for unadorned males during the second mate-choice test (one-sample  t test: t = −2.147, df = 14, p = .050)."</t>
  </si>
  <si>
    <t>df = 14, p = 0.05</t>
  </si>
  <si>
    <t>Direction of test against hypothesis that observer females chose the males that were associated with the social stimuli</t>
  </si>
  <si>
    <t>g=t/√n×J; paired/one-sample t=-2.147, n=15</t>
  </si>
  <si>
    <t>[converted from Hedges' D] logOR=g×π/√3; g=-0.5241, Var(g)=0.0765</t>
  </si>
  <si>
    <t>es0020</t>
  </si>
  <si>
    <t>In treatment two, one cage contained a single adorned male and the  other contained a pair of zebra finches where the model female was  adorned and her mate was unadorned.</t>
  </si>
  <si>
    <t>Page 416, Treatment Two section: "but not during the second mate-choice test (onesample t test: t = 1.677, df = 14, p = .116)."</t>
  </si>
  <si>
    <t>df = 14, p = 0.116</t>
  </si>
  <si>
    <t>g=t/√n×J; paired/one-sample t=1.677, n=15</t>
  </si>
  <si>
    <t>[converted from Hedges' D] logOR=g×π/√3; g=0.4094, Var(g)=0.0727</t>
  </si>
  <si>
    <t>es0021</t>
  </si>
  <si>
    <t>Kobayashi_2026_JournalOfEthology</t>
  </si>
  <si>
    <t>10.1007/s10164-025-00876-2</t>
  </si>
  <si>
    <t>After the first trial, one model female in the clear cylinder was placed near the nonpreferred male, whereas an empty cylinder was placed near the preferred male. (0-1 trial)</t>
  </si>
  <si>
    <t>Figure 4, data from treatment 0-1. Data from closed squares (second trial, when demonstrator females were present)</t>
  </si>
  <si>
    <t>Mean association time difference the focal female spent with a male (preferred - non-preferred) in seconds (s). Negative values mean that females spent more time with non-preferred (from first trial) males</t>
  </si>
  <si>
    <t>95%CI: -68 to -32</t>
  </si>
  <si>
    <t>Estimates with 95% CI that don't overlap 0 mean (according to study) that females spent significantly more time with a male over the other</t>
  </si>
  <si>
    <t>Study has several different trials in which they vary the number of demonstrator females and which males they are associated with. Each trial used sets of different females</t>
  </si>
  <si>
    <t>g from Fig 4 (trial1=ctrl open circle, trial2=treat closed square). CI half-width/1.96=SE; SD=SE×√n; g=(treat−ctrl)/SP_pooled×J (independent-groups approx — conservative for paired design)</t>
  </si>
  <si>
    <t>[converted from Hedges' D] logOR=g×π/√3; g=-1.7625, Var(g)=0.1341</t>
  </si>
  <si>
    <t>es0022</t>
  </si>
  <si>
    <t>Second, after the first trial, we placed one model female near the preferred male and three model females near the nonpreferred male. (1-3 trial)</t>
  </si>
  <si>
    <t>Figure 4, data from treatment 1-3. Data from closed squares (second trial, when demonstrator females were present)</t>
  </si>
  <si>
    <t>95%CI: 35 to 93</t>
  </si>
  <si>
    <t>[converted from Hedges' D] logOR=g×π/√3; g=-0.3436, Var(g)=0.0967</t>
  </si>
  <si>
    <t>es0023</t>
  </si>
  <si>
    <t>Third, after the first trial, we placed three model females near the preferred male and one model near the nonpreferred male. (3-1 trial)</t>
  </si>
  <si>
    <t>Figure 4, data from treatment 3-1. Data from closed squares (second trial, when demonstrator females were present)</t>
  </si>
  <si>
    <t>95%CI: -130 to -20</t>
  </si>
  <si>
    <t>[converted from Hedges' D] logOR=g×π/√3; g=-1.4046, Var(g)=0.126</t>
  </si>
  <si>
    <t>es0024</t>
  </si>
  <si>
    <t>Exp004</t>
  </si>
  <si>
    <t>Fourth, after the first trial, we placed three model females near the preferred male and an empty cylinder near the nonpreferred male (3-0 trial)</t>
  </si>
  <si>
    <t>Figure 4, data from treatment 3-0. Data from closed squares (second trial, when demonstrator females were present)</t>
  </si>
  <si>
    <t>95%CI: -72 to 53</t>
  </si>
  <si>
    <t>[converted from Hedges' D] logOR=g×π/√3; g=-0.9403, Var(g)=0.1116</t>
  </si>
  <si>
    <t>es0025</t>
  </si>
  <si>
    <t>Exp005</t>
  </si>
  <si>
    <t>Finally, after the first trial, we placed two model females near the preferred male and one model near the nonpreferred male. (2-1 trial)</t>
  </si>
  <si>
    <t>Figure 4, data from treatment 2-1. Data from closed squares (second trial, when demonstrator females were present)</t>
  </si>
  <si>
    <t>95%CI: -122 to -8</t>
  </si>
  <si>
    <t>[converted from Hedges' D] logOR=g×π/√3; g=-1.2439, Var(g)=0.1146</t>
  </si>
  <si>
    <t>es0026</t>
  </si>
  <si>
    <t>MacLaren_2019_Ethology</t>
  </si>
  <si>
    <t>10.1111/eth.12885</t>
  </si>
  <si>
    <t>Poecilia latipinna</t>
  </si>
  <si>
    <t>For Expt II, the time that the subject female spent with the nonpreferred male in preference test 2 was compared with the time she  spent with the same dummy male in preference test 1. If a female  spent more time with the non‐preferred male in preference test 2  than in preference test 1, it was concluded that the model female  had induced a shift in the subject female's strength of preference  indicative of mate choice copying.</t>
  </si>
  <si>
    <t xml:space="preserve">Data from text, page 581, section 3.3, data for Cohort 2 (n = 16). Information is mean </t>
  </si>
  <si>
    <t>Paired-sample t-test result</t>
  </si>
  <si>
    <t>t = 7.954, df = 15, p =˂ 0.001</t>
  </si>
  <si>
    <t>Couldn't use data for mean +/- error, because nowhere in the paper the author mentions what the error is</t>
  </si>
  <si>
    <t>Authors separate the total number of females used in the trials into those that initially preferred the novel trait (orange tail) versus those that preferred wild type males. Thus I need to record two entries for this study</t>
  </si>
  <si>
    <t>g=t/√n×J; paired/one-sample t=7.954, n=16</t>
  </si>
  <si>
    <t>[converted from Hedges' D] logOR=g×π/√3; g=1.8874, Var(g)=0.1812</t>
  </si>
  <si>
    <t>es0027</t>
  </si>
  <si>
    <t>Data from text, page 581, section 3.3, data for Cohort 1 (n = 18). Information is from statistical test in second column, second paragraph of this section</t>
  </si>
  <si>
    <t>t = 1.566, df = 17, p = 0.136</t>
  </si>
  <si>
    <t>g=t/√n×J; paired/one-sample t=1.566, n=18</t>
  </si>
  <si>
    <t>[converted from Hedges' D] logOR=g×π/√3; g=0.3526, Var(g)=0.0592</t>
  </si>
  <si>
    <t>es0028</t>
  </si>
  <si>
    <t>MacLaren_2024_PlosOne</t>
  </si>
  <si>
    <t>10.1371/journal.pone.0298171</t>
  </si>
  <si>
    <t>Phase 1: baseline preference for large dummy male established (paired t: t=4.600, df=17, p&lt;0.001). Phase 2: wild type model female paired with initially non-preferred small male for 10 min observation, then preference retest. MCC if females spent more time with small male in phase 2 vs phase 1.</t>
  </si>
  <si>
    <t>Table 1, row 'I(groupW): Time with sm. male in Phase1 vs Phase2 (with wild model)', p.11</t>
  </si>
  <si>
    <t>2-sample t-test (non-preferred male time: phase1 vs phase2)</t>
  </si>
  <si>
    <t>df=34, p&lt;0.001</t>
  </si>
  <si>
    <t>Females significantly increased time with initially non-preferred small male after observing wild type model. Phase 2 alone: t=2.942, df=17, p=0.009; large male decrease: t=3.625, df=34, p&lt;0.001</t>
  </si>
  <si>
    <t>Expt I Group W (wild type model). Three groups: W=wild type model (n=18), G=gold model (n=19), C=no-model control (n=17). Dummy males used (7.0 cm large, 5.5 cm small).</t>
  </si>
  <si>
    <t>g from 2-sample t (t=6.123, n=18/phase, df=34); Phase1 sm male=196.78s (Fig3), change=-230.39s (Fig4)-&gt;Phase2=427.17s; SP=(diff)/(t*sqrt(2/n)); g=d*J</t>
  </si>
  <si>
    <t>[converted from Hedges' D] logOR=g×π/√3; g=1.9956, Var(g)=0.1697</t>
  </si>
  <si>
    <t>es0029</t>
  </si>
  <si>
    <t>Phase 1: baseline preference for large dummy male established (paired t: t=5.10, df=18, p&lt;0.001). Phase 2: gold model female paired with initially non-preferred small male for 10 min observation, then preference retest. MCC if females spent more time with small male in phase 2 vs phase 1.</t>
  </si>
  <si>
    <t>Table 1, row 'I(groupG): Time with sm. male in Phase1 vs Phase2 (with gold model)', p.11</t>
  </si>
  <si>
    <t>df=36, p&lt;0.001</t>
  </si>
  <si>
    <t>Females copied gold model's choice. Phase 2 alone: t=4.707, df=18, p&lt;0.001; large male decrease: t=5.764, df=36, p&lt;0.001</t>
  </si>
  <si>
    <t>Expt I Group G (artificially-selected gold model). Three groups: W=wild type model (n=18), G=gold model (n=19), C=no-model control (n=17). Dummy males used.</t>
  </si>
  <si>
    <t>g from 2-sample t (t=6.618, n=19/phase, df=36); Phase1 sm male=198.95s (Fig3), change=-214.95s (Fig4)-&gt;Phase2=413.90s; SP from t; g=d*J</t>
  </si>
  <si>
    <t>[converted from Hedges' D] logOR=g×π/√3; g=2.1021, Var(g)=0.1666</t>
  </si>
  <si>
    <t>es0030</t>
  </si>
  <si>
    <t>Phase 1: baseline preference for large dummy male established (paired t: t=4.578, df=16, p&lt;0.001). Phase 2: no model presented; empty model tank placed in front of non-preferred small male. MCC if females spent more time with small male in phase 2 vs phase 1.</t>
  </si>
  <si>
    <t>Table 1, row 'I(groupC): Time with sm. male in Phase1 vs Phase2 (no model cont.)', p.11</t>
  </si>
  <si>
    <t>df=32, p=0.976</t>
  </si>
  <si>
    <t>No change in time with small male between phases. Phase 2 still preferred large: t=4.751, df=16, p&lt;0.001; large male unchanged across phases: t=1.182, df=32, p=0.246</t>
  </si>
  <si>
    <t>Expt I Group C (no-model control). Confirms shift in W/G groups is due to model. Females maintained large male preference throughout.</t>
  </si>
  <si>
    <t>g from 2-sample t (t=0.031, n=17/phase, df=32); Phase1 sm male=268.24s (Fig3), change=-0.82s (Fig4)-&gt;Phase2=269.06s; SP from t (unstable at t~0); g=d*J</t>
  </si>
  <si>
    <t>[converted from Hedges' D] logOR=g×π/√3; g=0.0104, Var(g)=0.1176</t>
  </si>
  <si>
    <t>es0031</t>
  </si>
  <si>
    <t>Two size-matched dummy males each paired simultaneously with different model females (one gold, one wild type). Subject observes both for 10 min then chooses between males. Test: which model's choice do females copy (gold-modeled vs wild type-modeled male preference)? No baseline preference test for male stimuli.</t>
  </si>
  <si>
    <t>Table 1, row 'II: Time with wild type-modeled male vs gold-modeled male', p.11</t>
  </si>
  <si>
    <t>Paired t-test (gold-modeled vs wild type-modeled male association time)</t>
  </si>
  <si>
    <t>df=19, p&lt;0.001; females consistently preferred male paired with gold model in both trials</t>
  </si>
  <si>
    <t>Preference for gold-modeled male replicated in trials 1 and 2 (models switched between trials). Trial 1: t=3.692, df=38, p&lt;0.001; trial 2: t=4.975, df=38, p&lt;0.001. Table 1 combined t=4.003, df=19.</t>
  </si>
  <si>
    <t>Expt II: simultaneous gold vs wild type model comparison. Not standard before-after MCC; tests which model induces stronger copying. Models switched sides across 2 trials.</t>
  </si>
  <si>
    <t>g from paired t (t=4.003, n=20, df=19); Fig5 ctrl=wild-modeled male 269.5s, treat=gold-modeled male 429.5s (combined 2 trials); SDs from Fig5 SE*sqrt(n); g=t/sqrt(n)*J</t>
  </si>
  <si>
    <t>[converted from Hedges' D] logOR=g×π/√3; g=0.8593, Var(g)=0.0694</t>
  </si>
  <si>
    <t>es0032</t>
  </si>
  <si>
    <t>Phase 1: baseline preference for gold vs wild type dummy male established (females preferred gold: t=4.169, df=19, p&lt;0.001; tested on day 1). Phase 2 (24 hr later): wild type model female paired with non-preferred wild type male for 10 min observation, then preference retest. MCC if females increased time with wild type (non-preferred) male in phase 2.</t>
  </si>
  <si>
    <t>Table 1, rows 'III Phase2: time with gold male vs wild type-male (with model)' and 'III: Time with wild type male in Phase1 vs Phase2 (with model)', p.11</t>
  </si>
  <si>
    <t>2-sample t-test (non-preferred wild type male time: phase1 vs phase2)</t>
  </si>
  <si>
    <t>df=38, p=0.234; no significant change in time with wild type male between phases</t>
  </si>
  <si>
    <t>Pre-existing sensory bias for gold male overrides MCC. Phase 2 paired t still showed gold preference: t=2.671, df=19, p=0.015. Gold male time unchanged across phases: t=1.303, df=38, p=0.200.</t>
  </si>
  <si>
    <t>Expt III: pre-existing aesthetic preference for gold male overrides MCC. Wild type model paired with non-preferred wild type male but females maintained gold preference.</t>
  </si>
  <si>
    <t>g from 2-sample t (t=1.208, n=20/phase, df=38); Phase1 wild=245.2s, Phase2 wild=276.0s (Fig6); SP from t; g=d*J</t>
  </si>
  <si>
    <t>[converted from Hedges' D] logOR=g×π/√3; g=0.3744, Var(g)=0.1018</t>
  </si>
  <si>
    <t>es0033</t>
  </si>
  <si>
    <t>Marcos_2019_ISPA</t>
  </si>
  <si>
    <t>A fase da demonstração começava quando uma fêmea focal era colocada num dos tubos  do dispositivo experimental e no tubo adjacente, separado do primeiro pela lamela de  vidro, eram colocados um casal em cópula e um macho solitário. Imaginemos que o  macho que estava em cópula era o azul e o solitário o cor-de-rosa. Isto implicava que o  macho azul estava a transmitir à fêmea observadora informação social positiva pela sua  capacidade de atrair parceiros e garantir a cópula e o macho rosa a transmitir  informação social negativa.</t>
  </si>
  <si>
    <t>Figure 8, experient MCC, group CS (which is the wild type lineage). Data extracted with Gemini</t>
  </si>
  <si>
    <t>Proportion of matings</t>
  </si>
  <si>
    <t>SE = 0.06; n = 90; successes = 60 (0.67 * 90)</t>
  </si>
  <si>
    <t>The CS (Canton-S) control females show a significant increase in preference for the target male after social demonstration. In the IMC (baseline) condition, the preference is exactly at the random choice level of 0.50 ($n=42$), whereas in the MCC condition, it rises to ~0.67.</t>
  </si>
  <si>
    <t>Text in portuguese from dissertation from Portugal.</t>
  </si>
  <si>
    <t>[converted from OR] d=ln(OR)×√3/π×J; OR=2.0, Var(logOR)=0.0944, n=90, J=0.9915</t>
  </si>
  <si>
    <t>OR=(A×D)/(B×C); Var(logOR)=1/A+1/B+1/C+1/D; A=60.0,B=30.0,C=45.0,D=45.0</t>
  </si>
  <si>
    <t>es0034</t>
  </si>
  <si>
    <t>Miller_2013_CarletonUniversity</t>
  </si>
  <si>
    <t>During Phase 2, the male end compartments were both divided in half by a  transparent partition (Fig. 4b). With the opaque partitions in place and the female in the  central cylinder, a model female was placed in the half-compartment adjacent to the male  that was not initially preferred by the focal female. Based on previous studies (e.g.  Dugatkin and Godin, 1992c; Briggs et al., 1996; Godin et al., 2005), it was expected that  this male and model female would interact sexually (courtship behaviours exhibited by  both sexes) across the clear partition separating them. To control for possible differential  activity of the paired males, a ‘pseudo-model female’ was placed in the half-compartment  next to the other male, but an opaque partition blocked the focal female’s view of this  stimulus female (so that only the male could be seen, but not the pseudo-model female  interacting with him). The model, pseudo-model and focal females in a given trial were  matched for body length</t>
  </si>
  <si>
    <t>Focal females significantly reduced their time spent near the initially-preferred  male after observing the initially non-preferred male sexually interacting with a model  female compared with the control (independent t-test, t = -2.24, df = 40.2, p = 0.03, twotailed; Fig. 8). Page 37, first paragraph.</t>
  </si>
  <si>
    <t>Independent t-test comparing the result of the experimental group versus the control (experimental that changed initial preference when shown model) vs control (no model)</t>
  </si>
  <si>
    <t>df = 40.2, p = 0.03</t>
  </si>
  <si>
    <t>Change in preference score is given in Figure 8</t>
  </si>
  <si>
    <t>Data from unpublished dissertation</t>
  </si>
  <si>
    <t>g=t×√(2/n)×J; independent t=-2.24, n1=n2=24 assumed</t>
  </si>
  <si>
    <t>[converted from Hedges' D] logOR=g×π/√3; g=-0.636, Var(g)=0.0877</t>
  </si>
  <si>
    <t>es0035</t>
  </si>
  <si>
    <t>Mitchell_2025_AmericanNaturalist</t>
  </si>
  <si>
    <t>10.1086/736329</t>
  </si>
  <si>
    <t>Virgin observer female (OR, 3-7 days) exposed to a recently mated OR demonstrator female for 45 min in a Greiner Bio-One arena (35 mm). Demonstrator was mated with either M4 or M7 males (unmarked) prior to pairing. Observer then transferred to a fresh arena with one colored M4 male and one colored M7 male for mate choice (recorded copulation within 60 min). Observers were identified by absence of fluorescent mating plug before being tested.</t>
  </si>
  <si>
    <t>Fig 2A (n from bars); GLM chi2=12.1, P=0.007 (in-text p.173); binomial P=0.013 for M4-mated group</t>
  </si>
  <si>
    <t>Count data (estimated from n + binomial P)</t>
  </si>
  <si>
    <t>GLM chi2=12.1, P=0.007 (overall treatment effect); M4-mated vs no-demo: z=2.3, P=0.019; vs virgin-demo: z=2.4, P=0.015; vs M7-mated: z=3.3, P=0.001; M4-mated binomial P=0.013</t>
  </si>
  <si>
    <t>Counts estimated: n=61 (M4-mated demo), binomial P=0.013 → ~40/61 chose M4 (copied). Control n=53 (no demo), binomial P≥0.532 → ~26/53 chose M4. Shared no-demo control (n=53) also used in Exp002. Virgin demo (n=58, P≥0.532) also showed no preference, confirming mating (not just presence) drives effect.</t>
  </si>
  <si>
    <t>First evidence of chemical MCC in any species. Exp001 = M4-mated live demonstrator; A=chose M4=copied, B=chose M7=not copied. Shared no-demo control (n=53) with Exp002 creates non-independence. OR formula: A×D/B×C.</t>
  </si>
  <si>
    <t>[converted from OR] d=ln(OR)×√3/π×J; OR=1.978, Var(logOR)=0.1481, n=114, J=0.9933</t>
  </si>
  <si>
    <t>OR=(A×D)/(B×C); A=exp chose M4 (copied), B=exp chose M7, C=ctrl chose M4, D=ctrl chose M7; counts estimated from n + binomial P-values</t>
  </si>
  <si>
    <t>es0036</t>
  </si>
  <si>
    <t>Fig 2A (n from bars); binomial P=0.048 for M7-mated group (fewer chose M4 = more chose M7 = copied M7 demonstrator)</t>
  </si>
  <si>
    <t>GLM chi2=12.1, P=0.007 (overall); M7-mated vs no-demo: z&lt;1.1, P&gt;0.284 (NS direct comparison); M4-mated vs M7-mated: z=3.3, P=0.001; M7-mated binomial P=0.048 (fewer chose M4 than chance)</t>
  </si>
  <si>
    <t>Counts estimated: n=64 (M7-mated demo), binomial P=0.048 → ~25/64 chose M4 (→39 chose M7 = copied M7 demonstrator). A and B recoded so A=copied (chose M7), B=not copied (chose M4). Control: ~27/53 chose M7, ~26/53 chose M4. Shared control with Exp001.</t>
  </si>
  <si>
    <t>Exp002 = M7-mated live demonstrator; copying direction = M7. A=chose M7=copied, B=chose M4=not copied, C=control chose M7, D=control chose M4. Symmetric to Exp001 but for M7 direction. Shared no-demo control (n=53) creates non-independence with Exp001.</t>
  </si>
  <si>
    <t>[converted from OR] d=ln(OR)×√3/π×J; OR=1.5022, Var(logOR)=0.1411, n=117, J=0.9935</t>
  </si>
  <si>
    <t>OR=(A×D)/(B×C); A=exp chose M7 (copied M7 demo), B=exp chose M4, C=ctrl chose M7, D=ctrl chose M4; counts estimated from n + binomial P-values</t>
  </si>
  <si>
    <t>es0037</t>
  </si>
  <si>
    <t>Virgin observer female (OR, 3-7 days) exposed for 45 min to a Whatman filter paper disc loaded with CHC extract from 3 recently mated OR females (mated with M4 or M7 males) or from 3 virgin M4/M7 males. Extract prepared by hexane wash (150 uL, 3 min vortex) of 3 mated females or 3 virgin males. Observer then offered one colored M4 and one colored M7 male for mate choice.</t>
  </si>
  <si>
    <t>Fig 2B (n from bars); GLM chi2=4.2, P=0.041; binomial P=0.049 for M4-mated extract group</t>
  </si>
  <si>
    <t>GLM chi2=4.2, P=0.041 (M4-mated extract vs M4 male extract); M4-mated extract binomial P=0.049 (chose M4 &gt; chance); M4 male extract binomial P=0.533 (no preference)</t>
  </si>
  <si>
    <t>Counts estimated: M4-mated extract n=44, binomial P=0.049 → ~27/44 chose M4 (copied). M4 male extract n=41, P=0.533 → ~20/41 chose M4. Control here = M4 male extract (virgin males, no mating).</t>
  </si>
  <si>
    <t>Mechanism experiment: CHC extract from mated female (no live demonstrator) is sufficient for chemical MCC. A=M4-extract group chose M4=copied, B=chose M7=not copied, C=M4-male-extract chose M4, D=chose M7. Confirms chemical cues (not social interaction) mediate copying.</t>
  </si>
  <si>
    <t>[converted from OR] d=ln(OR)×√3/π×J; OR=1.6676, Var(logOR)=0.1935, n=85, J=0.991</t>
  </si>
  <si>
    <t>OR=(A×D)/(B×C); A=mated-extract group chose M4, B=chose M7, C=male-extract control chose M4, D=chose M7; counts estimated from n + binomial P-values</t>
  </si>
  <si>
    <t>es0038</t>
  </si>
  <si>
    <t>Fig 2C (n from bars); GLM chi2=4.9, P=0.027; binomial P=0.036 for M7-mated extract (fewer chose M4 = more chose M7 = copied)</t>
  </si>
  <si>
    <t>GLM chi2=4.9, P=0.027 (M7-mated extract vs M7 male extract); M7-mated extract binomial P=0.036 (chose M7 &gt; chance); M7 male extract binomial P=0.401 (no preference)</t>
  </si>
  <si>
    <t>Counts estimated: M7-mated extract n=51, binomial P=0.036 → ~19/51 chose M4 (→32 chose M7 = copied M7). M7 male extract n=66, P=0.401 → ~33/66 each. A recoded as chose M7=copied.</t>
  </si>
  <si>
    <t>Mechanism experiment (M7 direction): CHC extract from M7-mated female shifts observer preference toward M7. A=mated-extract chose M7=copied, B=chose M4=not copied, C=male-extract chose M7, D=chose M4. Symmetric to Exp003 for M7 direction.</t>
  </si>
  <si>
    <t>[converted from OR] d=ln(OR)×√3/π×J; OR=1.6842, Var(logOR)=0.1445, n=117, J=0.9935</t>
  </si>
  <si>
    <t>OR=(A×D)/(B×C); A=M7-mated-extract group chose M7, B=chose M4, C=M7-male-extract chose M7, D=chose M4; counts estimated from n + binomial P-values</t>
  </si>
  <si>
    <t>es0039</t>
  </si>
  <si>
    <t>Virgin observer female (OR, 3-7 days) exposed simultaneously to one M4-mated AND one M7-mated OR demonstrator female for 45 min (competing social information). Observer then offered one colored M4 and one colored M7 male for mate choice. Tests whether competing chemical signals from two differently mated demonstrators cancel out.</t>
  </si>
  <si>
    <t>Fig 3 (n=43 from bar); binomial P=0.542 (no preference)</t>
  </si>
  <si>
    <t>Count data (estimated from n + binomial P; 50/50 rule for C/D)</t>
  </si>
  <si>
    <t>Binomial P=0.542 (no preference for either male genotype); no separate control run for this sub-experiment</t>
  </si>
  <si>
    <t>Competing chemical signals cancel: ~21/43 chose M4, ~22/43 chose M7 (essentially 50/50). 50/50 rule applied for C/D (no separate control group). Result shows chemical MCC is direction-specific and requires a single unambiguous demonstrator signal.</t>
  </si>
  <si>
    <t>Null result: simultaneous exposure to M4-mated and M7-mated demonstrators produces no net preference. Demonstrates that chemical MCC requires a single unambiguous mated female cue. 50/50 rule for C/D since no separate control in this sub-experiment.</t>
  </si>
  <si>
    <t>[converted from OR] d=ln(OR)×√3/π×J; OR=0.9545, Var(logOR)=0.1861, n=43, J=0.982</t>
  </si>
  <si>
    <t>OR=(A×D)/(B×C); 50/50 rule: C=D=N/2=21.5; no directional copying so A=chose M4, B=chose M7</t>
  </si>
  <si>
    <t>es0040</t>
  </si>
  <si>
    <t>Moran_2013_Behaviour</t>
  </si>
  <si>
    <t>10.1163/1568539X-00003092</t>
  </si>
  <si>
    <t>Etheostoma zonale</t>
  </si>
  <si>
    <t>A focal female was placed in the central compartment of the test aquarium. A stimulus female of the same species was placed in each of the front two side compartments and a male of the same species was placed in each of the back two side compartments. Each focal female experienced a trial that consisted of a pre-treatment test (Figure 1a) followed by an exposure treatment (Figure 1b) and then a post-treatment test that matched the pretreatment test in terms of which fish could see which other fish (Figure 1a).</t>
  </si>
  <si>
    <t>Wald statistic = 10.04, p ≈ 0.002</t>
  </si>
  <si>
    <t>Wald statistic</t>
  </si>
  <si>
    <t>p ≈ 0.002</t>
  </si>
  <si>
    <t>Female E. zonale significantly increased the relative time spent in the association zone next to the male that had been visibly courted by stimulus females</t>
  </si>
  <si>
    <t>[converted from OR] d=ln(OR)×√3/π×J; OR=2.0, Var(logOR)=0.5667, n=30, J=0.9739</t>
  </si>
  <si>
    <t>OR=(A×D)/(B×C); Var(logOR)=1/A+1/B+1/C+1/D; A=10.0,B=5.0,C=7.5,D=7.5</t>
  </si>
  <si>
    <t>es0041</t>
  </si>
  <si>
    <t>Wald statistic = 6.905, p ≈ 0.009</t>
  </si>
  <si>
    <t>p ≈ 0.009</t>
  </si>
  <si>
    <t>Male E. zonale significantly increased the relative time spent in the association zone next to the female that had been visibly courted by stimulus</t>
  </si>
  <si>
    <t>es0042</t>
  </si>
  <si>
    <t>Etheostoma flabellare</t>
  </si>
  <si>
    <t>Wald statistic = 0.1845, p ≈ 0.174</t>
  </si>
  <si>
    <t>p ≈ 0.174</t>
  </si>
  <si>
    <t>Female E. flabellare did not significantly increase the relative time spent in the association zone next to the male that had been visibly courted by stimulus females</t>
  </si>
  <si>
    <t>[converted from OR] d=ln(OR)×√3/π×J; OR=0.875, Var(logOR)=0.5345, n=30, J=0.9739</t>
  </si>
  <si>
    <t>OR=(A×D)/(B×C); Var(logOR)=1/A+1/B+1/C+1/D; A=7.0,B=8.0,C=7.5,D=7.5</t>
  </si>
  <si>
    <t>es0043</t>
  </si>
  <si>
    <t>Wald statistic = 6.590, p ≈ 0.010</t>
  </si>
  <si>
    <t>p ≈ 0.010</t>
  </si>
  <si>
    <t>Male E. flabellare significantly increased the relative time spent in the association zone next to the female that had been visibly courted by stimulus males</t>
  </si>
  <si>
    <t>[converted from OR] d=ln(OR)×√3/π×J; OR=6.5, Var(logOR)=0.8436, n=30, J=0.9739</t>
  </si>
  <si>
    <t>OR=(A×D)/(B×C); Var(logOR)=1/A+1/B+1/C+1/D; A=13.0,B=2.0,C=7.5,D=7.5</t>
  </si>
  <si>
    <t>es0044</t>
  </si>
  <si>
    <t>Nöbel_2022_BehavioralEcology</t>
  </si>
  <si>
    <t>10.1093/beheco/arac071</t>
  </si>
  <si>
    <t>In the control treatment we provided both acceptance and rejection of a male during the demonstration. To be treated like the other observer females and the observer female in the control setting was alone during stage 1, and for stage 2 we introduced in the other compartment a virgin demonstrator female, plus a pink and a green male (Figure 1). The observer female could thus see the courtship and the actual choice of the demonstrator female. Trials in which the demonstrator female did not copulate within 30 min of the demonstration were discarded. After the demonstrator copulation ended demonstrator flies were removed.</t>
  </si>
  <si>
    <t>First paragraph of result section: Second sentence: binomial test, N = 65, P = 0.006</t>
  </si>
  <si>
    <t>Binomial test</t>
  </si>
  <si>
    <t>binomial test, N = 65, P = 0.006</t>
  </si>
  <si>
    <t>Control observer females that recieved both information copied the choice of the demonstrator</t>
  </si>
  <si>
    <t>Data from control trial.</t>
  </si>
  <si>
    <t>[converted from OR] d=ln(OR)×√3/π×J; OR=2.0952, Var(logOR)=0.1319, n=65, J=0.9882</t>
  </si>
  <si>
    <t>OR=(A×D)/(B×C); Var(logOR)=1/A+1/B+1/C+1/D; A=44.0,B=21.0,C=32.5,D=32.5</t>
  </si>
  <si>
    <t>es0045</t>
  </si>
  <si>
    <t>In stage 2, a male of the opposite color was presented together with a demonstrator female that recently mated (Figure 1). As recently mated D. melanogaster females actively reject courting males (Barnes et al. 2008; Kimura et al. 2015) for several days after copulation (Markow 2002), these trials provided negative information for the rejected male.</t>
  </si>
  <si>
    <t>Rejection trial results: First paragraph of result section: Fourth sentence: binomial test, N = 66, P = 0.268</t>
  </si>
  <si>
    <t>binomial test, N = 66, P = 0.268</t>
  </si>
  <si>
    <t>Rejected trial observer females that received information on male being rejected did not copy the choice of the demonstrator</t>
  </si>
  <si>
    <t>Data from rejection trial.</t>
  </si>
  <si>
    <t>[converted from OR] d=ln(OR)×√3/π×J; OR=0.7368, Var(logOR)=0.1226, n=66, J=0.9884</t>
  </si>
  <si>
    <t>OR=(A×D)/(B×C); Var(logOR)=1/A+1/B+1/C+1/D; A=28.0,B=38.0,C=33.0,D=33.0</t>
  </si>
  <si>
    <t>es0046</t>
  </si>
  <si>
    <t>In the acceptance treatment, again observer females could observe a single male in stage 1 and then in stage 2 they observed a copulation with a male of the opposite color.</t>
  </si>
  <si>
    <t>First paragraph of result section: Third sentence: binomial test, N = 65, P = 0.00005</t>
  </si>
  <si>
    <t>binomial test, N = 65, P = 0.00005</t>
  </si>
  <si>
    <t>Acceptance observer females that recieved information on mate acceptance copied the choice of the demonstrator</t>
  </si>
  <si>
    <t>Data from acceptance trial.</t>
  </si>
  <si>
    <t>[converted from OR] d=ln(OR)×√3/π×J; OR=3.0625, Var(logOR)=0.1444, n=65, J=0.9882</t>
  </si>
  <si>
    <t>OR=(A×D)/(B×C); Var(logOR)=1/A+1/B+1/C+1/D; A=49.0,B=16.0,C=32.5,D=32.5</t>
  </si>
  <si>
    <t>es0047</t>
  </si>
  <si>
    <t>Nöbel_2022_ProceedingsOfTheRoyalSocietyBBiologicalSciences</t>
  </si>
  <si>
    <t>10.1098/rspb.2022.0431</t>
  </si>
  <si>
    <t>Gambusia holbrooki</t>
  </si>
  <si>
    <t>Before-and-after MCC test. During 10-min demonstration, a stimulus female was visible next to the small male; pseudo-stimulus female hidden behind screen next to large male. SLS = MCT2 - MCT1, where MCT = tS/(tS+tL). Personality scored post-experiment via maze boldness test. Analysis restricted to shy females (n=198) at intermediate male size-ratio (10-20%).</t>
  </si>
  <si>
    <t>Results section, shy female analysis, final paragraph: the treatment effect was significant (LM: F=7.692, p=0.007)</t>
  </si>
  <si>
    <t>LM F-statistic</t>
  </si>
  <si>
    <t>p=0.007</t>
  </si>
  <si>
    <t>Treatment effect (MC treatment vs C1+C2 controls) for shy females restricted to intermediate male size-ratio (10-20%). Primary MCC evidence. Exact subset n not reported in text; shy total N=198. Supporting effects for MC-trial shy females (all size-ratios): size-ratio F=6.086 p=0.016; size-ratio2 F=4.590 p=0.035; side-bias F=8.386 p=0.005.</t>
  </si>
  <si>
    <t>MCC only detectable in shy females (n=198; 69.5% of 285) at intermediate male size-ratio (10-20%). Bold females (n=87) showed no MCC (F=1.391, p=0.255). Ignoring personality: no overall MC detected (3-way interaction F=2.930, p=0.055). Wild-caught G. holbrooki from Lake Lamartine, France (2015-2016). N=343 tested; 58 excluded for &gt;90% side-bias; final n=285.</t>
  </si>
  <si>
    <t>es0048</t>
  </si>
  <si>
    <t>Same design as Exp001. Analysis restricted to bold females (n=87; reached maze chamber 5 within 10 min in boldness test). All male size-ratios included.</t>
  </si>
  <si>
    <t>Results section, bold female analysis: treatment, LM: F=1.391, p=0.255</t>
  </si>
  <si>
    <t>p=0.255</t>
  </si>
  <si>
    <t>Treatment main effect for bold females after removing non-significant treatment x size-ratio interaction (F=2.121, p=0.127). Other effects also NS: side-bias F=0.175 p=0.677; size-ratio F=2.116 p=0.150; size-ratio2 F=1.684 p=0.198. No evidence for MCC in bold females.</t>
  </si>
  <si>
    <t>See Exp001 for full study description. Bold females defined as those reaching maze chamber 5 within 10 min; n=87 (30.5% of 285).</t>
  </si>
  <si>
    <t>es0049</t>
  </si>
  <si>
    <t>Nöbel_2022_ScientificReports</t>
  </si>
  <si>
    <t>10.1038/s41598-022-26252-5</t>
  </si>
  <si>
    <t>First, the observer female was placed in the compartment next to the image, which was covered with white cardboard at that time. For the time of the demonstration the cardboard was removed, and the observer female could watch the image. Later, the image was covered again, and two virgin males dusted in green and pink were introduced for the mate-choice test. The mate-choice test started as soon as the partition was removed, and observer females had 30 min to mate with one of the two males. We recorded the phenotype of the first and second courting male (i.e., showing wing vibrations), as well as the phenotype of the male she chose to copulate with.</t>
  </si>
  <si>
    <t>Figure 3, group "photos"</t>
  </si>
  <si>
    <t>The proportion of females that copied the choice shown in the photos</t>
  </si>
  <si>
    <t>binomial test, n = 72, p = 0.003</t>
  </si>
  <si>
    <t>Photo trials. Just the clean photo trial information from the results of Experiment 1. Can also extract data from Figure 4, on the trials that varied the length of the presentation duration</t>
  </si>
  <si>
    <t>[converted from OR] d=ln(OR)×√3/π×J; OR=2.1304, Var(logOR)=0.1194, n=72, J=0.9894</t>
  </si>
  <si>
    <t>OR=(A×D)/(B×C); Var(logOR)=1/A+1/B+1/C+1/D; A=49.0,B=23.0,C=36.0,D=36.0</t>
  </si>
  <si>
    <t>es0050</t>
  </si>
  <si>
    <t>Nöbel_2023_BehaviouralProcesses</t>
  </si>
  <si>
    <t>10.1016/j.beproc.2023.104837</t>
  </si>
  <si>
    <t>Danio rerio</t>
  </si>
  <si>
    <t>After this first mate-choice test (comprising two 10-min trials), opaque screens were inserted, and the observer female was placed back into the glass square in the middle of the large tank. One demonstrator female was placed next to each male, but only the one close to the small male was visible to the observer female while the one next to the large male was hidden by an opaque screen (thick line in Fig. 1B). Fish were given a few minutes to calm down before the opaque screens (except the one in front of the pseudo-demonstrator female next to the large male) were removed.</t>
  </si>
  <si>
    <t>Page 5, Result section, penultimate sentence of the section</t>
  </si>
  <si>
    <t>t-test comparing treatment versus control</t>
  </si>
  <si>
    <t>df = 88.281, p = 0.768</t>
  </si>
  <si>
    <t>Little evidence that females chose to copy the behavior of demonstrators</t>
  </si>
  <si>
    <t>I used the data that was combined for both lab strains, and is presented at the end of the result section and also in Figure 4.</t>
  </si>
  <si>
    <t>g from Welch t-test (t=-0.297, n_treat=65, n_ctrl=40). d=t×sqrt(1/n1+1/n2); g=d×J (df=103)</t>
  </si>
  <si>
    <t>[converted from Hedges' D] logOR=g×π/√3; g=-0.0592, Var(g)=0.0404</t>
  </si>
  <si>
    <t>es0051</t>
  </si>
  <si>
    <t>Nöbel_2023_Iscience</t>
  </si>
  <si>
    <t>10.1016/j.isci.2023.107682</t>
  </si>
  <si>
    <t>Demonstrations consisted in a single virgin female (the demonstrator) placed with two virgin males, one of each colour, for 30 min on one side of the tubes, and a na ̈ıve, virgin observer female on the other side of the tubes separated by the glass partition. The copulation of the demonstrator female with one of the coloured males provided positive information for that male colour and negative information for the other male phenotype.</t>
  </si>
  <si>
    <t>Figure 1, group "Controls" Wild type</t>
  </si>
  <si>
    <t>The proportion of trials where the female copied the demonstrated choice.</t>
  </si>
  <si>
    <t>N = 65, p = 0.025</t>
  </si>
  <si>
    <t>Based on Figure 1 from Nöbel (2023), here is the specific extraction for the Wild type (+/+) control group, which represents individuals with a fully functional Rutabaga protein.</t>
  </si>
  <si>
    <t>[converted from OR] d=ln(OR)×√3/π×J; OR=1.8261, Var(logOR)=0.1288, n=65, J=0.9882</t>
  </si>
  <si>
    <t>OR=(A×D)/(B×C); Var(logOR)=1/A+1/B+1/C+1/D; A=42.0,B=23.0,C=32.5,D=32.5</t>
  </si>
  <si>
    <t>es0052</t>
  </si>
  <si>
    <t>Picture of copulating flies in this trial. Demonstrations consisted in a single virgin female (the demonstrator) placed with two virgin males, one of each colour, for 30 min on one side of the tubes, and a na ̈ıve, virgin observer female on the other side of the tubes separated by the glass partition. The copulation of the demonstrator female with one of the coloured males provided positive information for that male colour and negative information for the other male phenotype.</t>
  </si>
  <si>
    <t>Figure 3, group Wild type</t>
  </si>
  <si>
    <t>N = 65, p = 0.003</t>
  </si>
  <si>
    <t>Based on Figure 3 from Nöbel (2023), here is the specific extraction for the Wild type (+/+) control group, which represents individuals with a fully functional Rutabaga protein.</t>
  </si>
  <si>
    <t>Data from presentation of images/pictures of copulating flies</t>
  </si>
  <si>
    <t>[converted from OR] d=ln(OR)×√3/π×J; OR=2.25, Var(logOR)=0.1338, n=65, J=0.9882</t>
  </si>
  <si>
    <t>OR=(A×D)/(B×C); Var(logOR)=1/A+1/B+1/C+1/D; A=45.0,B=20.0,C=32.5,D=32.5</t>
  </si>
  <si>
    <t>es0053</t>
  </si>
  <si>
    <t>Nöbel_2025_BiologyLetters</t>
  </si>
  <si>
    <t>10.1098/rsbl.2025.0070</t>
  </si>
  <si>
    <t>Drosophila simulans</t>
  </si>
  <si>
    <t>Typically, each mate-copying experiment has two phases: a demonstration followed by a mate-choice test (figure 1). In the demonstration, a single naive, unmated demonstrator female was put with two unmated males, one of each colour, for 30 min on one side of the tubes. On the other side of the tubes, there was a naive, unmated observer female separated by the glass partition. The female demonstrators’ copulation with one of the males provided positive information for that colour and negative information for the other male phenotype. Copulation lasts approximately 20 min in D. simulans, so the observer female got enough information about the demonstrator females’ mate choice. When the copulation ended, we removed all demonstrators and immediately continued with the mate-choice test.</t>
  </si>
  <si>
    <t>Figure 2, panel A with all strains gropued</t>
  </si>
  <si>
    <t>Mate-copying index for group informed as A, B (sample sizes). Then uninformed for C, D</t>
  </si>
  <si>
    <t>N = 192, p = 0.000000001</t>
  </si>
  <si>
    <t>Based on Figure 2, Panel A from Nöbel (2025), here is the extracted data for the pooled experiments involving three strains of Drosophila simulans.</t>
  </si>
  <si>
    <t>Data from Figure 2, pooled strains</t>
  </si>
  <si>
    <t>[converted from OR] d=ln(OR)×√3/π×J; OR=3.2637, Var(logOR)=0.0472, n=381, J=0.998</t>
  </si>
  <si>
    <t>OR=(A×D)/(B×C); Var(logOR)=1/A+1/B+1/C+1/D; A=138.0,B=54.0,C=83.0,D=106.0</t>
  </si>
  <si>
    <t>es0054</t>
  </si>
  <si>
    <t>Nöbel_2025_ScientificReports</t>
  </si>
  <si>
    <t>10.1038/s41598-025-88535-x</t>
  </si>
  <si>
    <t>alpha/beta control strain, copulation trial. Demonstrations consisted in a single virgin demonstrator female placed with two virgin males, one of each colour, for 30 min on one side of the tubes, and a naïve, virgin observer female on the other side of the tubes separated by the glass partition. The copulation of the demonstrator female with one of the coloured males provided positive information for that male colour and negative information for the other male phenotype. As copulation lasts approx. 20 min in D. melanogaster, the observer female had plenty of time to gather information about the mate choice of the demonstrator female.</t>
  </si>
  <si>
    <t>Figure 1, group alpha/beta neurons, white bar (control +/+)</t>
  </si>
  <si>
    <t>binomial test: n = 64, P = 0.0002, third bar Fig. 1).</t>
  </si>
  <si>
    <t>Based on Figure 1 from Nöbel (2025), which investigates the neural substrates (Kenyon cells) required for long-term memory of mate-copying, here is the data extraction for the three Wild type (+/+) control bars. These groups serve as the fully functional benchmarks for each brain region subsection</t>
  </si>
  <si>
    <t>[converted from OR] d=ln(OR)×√3/π×J; OR=2.7647, Var(logOR)=0.1426, n=64, J=0.988</t>
  </si>
  <si>
    <t>OR=(A×D)/(B×C); Var(logOR)=1/A+1/B+1/C+1/D; A=47.0,B=17.0,C=32.0,D=32.0</t>
  </si>
  <si>
    <t>es0055</t>
  </si>
  <si>
    <t>gamma control strain, copulation trial. Demonstrations consisted in a single virgin demonstrator female placed with two virgin males, one of each colour, for 30 min on one side of the tubes, and a naïve, virgin observer female on the other side of the tubes separated by the glass partition. The copulation of the demonstrator female with one of the coloured males provided positive information for that male colour and negative information for the other male phenotype. As copulation lasts approx. 20 min in D. melanogaster, the observer female had plenty of time to gather information about the mate choice of the demonstrator female.</t>
  </si>
  <si>
    <t>Figure 1, group gamma neurons, white bar (control +/+)</t>
  </si>
  <si>
    <t>binomial test: n = 66, P = 0.0008; sixth bar in Fig. 1),</t>
  </si>
  <si>
    <t>[converted from OR] d=ln(OR)×√3/π×J; OR=2.6667, Var(logOR)=0.137, n=66, J=0.9884</t>
  </si>
  <si>
    <t>OR=(A×D)/(B×C); Var(logOR)=1/A+1/B+1/C+1/D; A=48.0,B=18.0,C=33.0,D=33.0</t>
  </si>
  <si>
    <t>es0056</t>
  </si>
  <si>
    <t>alpha/beta/gama control strain, copulation trial. Demonstrations consisted in a single virgin demonstrator female placed with two virgin males, one of each colour, for 30 min on one side of the tubes, and a naïve, virgin observer female on the other side of the tubes separated by the glass partition. The copulation of the demonstrator female with one of the coloured males provided positive information for that male colour and negative information for the other male phenotype. As copulation lasts approx. 20 min in D. melanogaster, the observer female had plenty of time to gather information about the mate choice of the demonstrator female.</t>
  </si>
  <si>
    <t>Figure 1, group alpha/beta/gamma neurons, white bar (control +/+)</t>
  </si>
  <si>
    <t>binomial test: n = 64, P = 0.002; ninth bar in Fig. 1)</t>
  </si>
  <si>
    <t>[converted from OR] d=ln(OR)×√3/π×J; OR=2.3684, Var(logOR)=0.1374, n=64, J=0.988</t>
  </si>
  <si>
    <t>OR=(A×D)/(B×C); Var(logOR)=1/A+1/B+1/C+1/D; A=45.0,B=19.0,C=32.0,D=32.0</t>
  </si>
  <si>
    <t>es0057</t>
  </si>
  <si>
    <t>Control strain, picture trial. Demonstrations consisted in a single virgin demonstrator female placed with two virgin males, one of each colour, for 30 min on one side of the tubes, and a naïve, virgin observer female on the other side of the tubes separated by the glass partition. The copulation of the demonstrator female with one of the coloured males provided positive information for that male colour and negative information for the other male phenotype. As copulation lasts approx. 20 min in D. melanogaster, the observer female had plenty of time to gather information about the mate choice of the demonstrator female.</t>
  </si>
  <si>
    <t>Figure 2, white bar (control +/+)</t>
  </si>
  <si>
    <t>binomial test: n = 66, P = 0.0008; third bar in Fig. 2)</t>
  </si>
  <si>
    <t>Based on Figure 2 from Nöbel (2025), which explores the establishment of Long-Term Social Memory (LTSM) using photos while blocking protein synthesis, here is the extracted data for the Wild type (+/+) control group. This group represents individuals with fully functional Rutabaga and normal protein synthesis.</t>
  </si>
  <si>
    <t>[converted from OR] d=ln(OR)×√3/π×J; OR=2.4737, Var(logOR)=0.1345, n=66, J=0.9884</t>
  </si>
  <si>
    <t>OR=(A×D)/(B×C); Var(logOR)=1/A+1/B+1/C+1/D; A=47.0,B=19.0,C=33.0,D=33.0</t>
  </si>
  <si>
    <t>es0058</t>
  </si>
  <si>
    <t>Ophir_2009_Unknown</t>
  </si>
  <si>
    <t>10.1006/anbe.2003.2229</t>
  </si>
  <si>
    <t>Coturnix japonica</t>
  </si>
  <si>
    <t>Focal female (n=15, within-subjects) assigned to 3 counterbalanced conditions (video-mating, video-alone, live-mating). Pretest (10 min): chose between preferred and nonpreferred male. Observation (5.25 min): TFT video clip of nonpreferred target male courting and mating with a model female. Post-test (10 min): same choice. Outcome: change in time near nonpreferred male (post minus pretest). Primary comparison: video-mating vs video-alone; Bonferroni-corrected paired t test.</t>
  </si>
  <si>
    <t>Results, Exp1, post-test: Bonferroni-corrected paired t test: t14=3.16, P&lt;0.01; overall ANOVA F(2,14)=8.23, P&lt;0.01</t>
  </si>
  <si>
    <t>t-statistic</t>
  </si>
  <si>
    <t>df=14; P&lt;0.01</t>
  </si>
  <si>
    <t>Video-mating &gt; video-alone; confirms MCC via video recording. Also: video-mating = live-mating (t14=0.56, NS).</t>
  </si>
  <si>
    <t>StudyId year (2009) is a placeholder; actual paper is Animal Behaviour 2003. Species from commercial breeder, captive-bred. All birds ~52 days old at acquisition, tested ~40 days later (sexually mature). Exp1: 23 trios recruited, 8 excluded (5 approach failure, 1 egg during test, 2 noise disturbance); n=15 focal females. Exp2: same subjects, 3 further excluded; n=12.</t>
  </si>
  <si>
    <t>g=t/√n×J; one-sample t=3.16, n=15, df=14</t>
  </si>
  <si>
    <t>[converted from Hedges' D] logOR=g×π/√3; g=0.7714, Var(g)=0.0879</t>
  </si>
  <si>
    <t>es0059</t>
  </si>
  <si>
    <t>Same 15 females from Exp1; 3 further excluded (n=12). Switch condition: focal female saw TFT video of her nonpreferred target male mating, then males swapped sides before post-test. Tests whether increased preference is for the specific individual (not the location).</t>
  </si>
  <si>
    <t>Results, Exp2, post-test: switch condition, t11=3.14, P&lt;0.01</t>
  </si>
  <si>
    <t>df=11; P&lt;0.01</t>
  </si>
  <si>
    <t>MCC confirmed after males swapped sides. Preference is for the specific individual male seen mating on video, not for the location where video was shown.</t>
  </si>
  <si>
    <t>See Exp001 for full study description.</t>
  </si>
  <si>
    <t>g=t/√n×J; one-sample t=3.14, n=12, df=11</t>
  </si>
  <si>
    <t>[converted from Hedges' D] logOR=g×π/√3; g=0.8432, Var(g)=0.1157</t>
  </si>
  <si>
    <t>es0060</t>
  </si>
  <si>
    <t>Same design as Exp002. Third-male condition: focal female saw TFT video of an unfamiliar male mating (not her nonpreferred target male). Tests individual specificity of MCC.</t>
  </si>
  <si>
    <t>Results, Exp2, post-test: third-male condition, t11=0.93, NS</t>
  </si>
  <si>
    <t>df=11; NS</t>
  </si>
  <si>
    <t>No MCC when observer saw unfamiliar male mating on video. Confirms copying is individual-specific: observer must have seen her own nonpreferred target male mating.</t>
  </si>
  <si>
    <t>g=t/√n×J; one-sample t=0.93, n=12, df=11</t>
  </si>
  <si>
    <t>[converted from Hedges' D] logOR=g×π/√3; g=0.2497, Var(g)=0.0862</t>
  </si>
  <si>
    <t>es0061</t>
  </si>
  <si>
    <t>Exp1, live-mating condition. Same within-subjects design as Exp001 (n=15). During observation phase, focal female watched her nonpreferred target male court and mate live with a model female for 5.25 min. Post-test identical to Exp001. No separate pairwise t-test vs video-alone reported; overall ANOVA F(2,14)=8.23 tests all three conditions. Video-mating = live-mating (t14=0.56, NS), so live-mating &gt; video-alone by transitivity.</t>
  </si>
  <si>
    <t>Results, Exp1: overall one-way repeated-measures ANOVA F(2,14)=8.23, P&lt;0.01 (all 3 conditions); no separate pairwise t for live-mating vs video-alone reported</t>
  </si>
  <si>
    <t>F-statistic (repeated-measures ANOVA)</t>
  </si>
  <si>
    <t>df=2,14; P&lt;0.01</t>
  </si>
  <si>
    <t>Overall ANOVA significant. Live-mating = video-mating (t14=0.56, NS); video-mating &gt; video-alone (t14=3.16, P&lt;0.01); therefore live-mating &gt; video-alone by transitivity. No direct t-statistic for this specific comparison.</t>
  </si>
  <si>
    <t>See Exp001 for full study description. F-statistic is from the overall ANOVA, not a pairwise test.</t>
  </si>
  <si>
    <t>es0062</t>
  </si>
  <si>
    <t>Plath_2008_CurrentBiology</t>
  </si>
  <si>
    <t>10.1016/j.cub.2008.06.067</t>
  </si>
  <si>
    <t>Live male</t>
  </si>
  <si>
    <t>Focal males (n=18, audience condition) chose between a large (preferred) and small (non-preferred) female. Part 1 (5 min): baseline preference established without audience (most approached large female first). Part 2 (5 min): rival male confined in clear Plexiglas cylinder introduced. Outcome: first female approached by focal male. Binomial test vs 50/50. Control condition (n=18): Part 2 repeated without audience; preferences remained unchanged.</t>
  </si>
  <si>
    <t>Results: "16 out of 18 males directed their first sexual behavior toward the small female in the presence of a competitor"; binomial test</t>
  </si>
  <si>
    <t>Binomial proportion</t>
  </si>
  <si>
    <t>binomial test; n=18; p=0.0013</t>
  </si>
  <si>
    <t>16/18 focal males first approached non-preferred (small) female when rival present. Control first-interaction counts not explicitly stated; paper states preferences "essentially unchanged" in control. OR estimated using 50/50 rule (C=D=9). If control symmetric (~2/18 chose non-preferred), OR~64; 50/50 gives conservative OR=8.0.</t>
  </si>
  <si>
    <t>HARKing case: paper frames behavior as male deception of rivals, but the data document socially-mediated mate choice change. Focal subject is MALE (not female). Audience male (confined in Plexiglas cylinder) does not make a free choice; audience male behavior not measured. OR calculated using 50/50 rule since control first-interaction counts not reported in text. Species origin: Captivity (lab descendants from wild P. mexicana, coastal lagoon near Tampico, Mexico). Model male place in central position in the tank, not associated with a particular female.</t>
  </si>
  <si>
    <t>[converted from OR] d=ln(OR)×√3/π×J; OR=8.0, Var(logOR)=0.7847, n=36, J=0.9784</t>
  </si>
  <si>
    <t>50/50 rule applied to control condition (counts not in text)</t>
  </si>
  <si>
    <t>es0063</t>
  </si>
  <si>
    <t>Both experiments combined (Exp1: large vs small conspecific female; Exp2: conspecific vs heterospecific P. formosa female). Preference score = % sexual behaviors directed toward preferred female in Part 1 minus Part 2 (positive score = decreased preference for preferred female). GLM with treatment (audience vs no-audience) and experiment as between-subjects factors. Interaction experiment x treatment NS (F=0.347, p=0.558), indicating similar audience effect in both experiments.</t>
  </si>
  <si>
    <t>Results, GLM: treatment factor F(1,68)=65.020, p&lt;0.0001; audience condition: -23.7%±2.0% preference change; control: -0.3%±2.0%</t>
  </si>
  <si>
    <t>F-statistic (GLM)</t>
  </si>
  <si>
    <t>df=1,68; p&lt;0.0001</t>
  </si>
  <si>
    <t>Treatment effect: audience presence significantly suppressed focal male preference for preferred female. Audience: mean preference decrease of 23.7%; control: 0.3% (unchanged). Experiment x treatment interaction NS (p=0.558): effect consistent across Exp1 and Exp2.</t>
  </si>
  <si>
    <t>See Exp001 for full study description. F-statistic is from overall GLM; not a pairwise comparison.</t>
  </si>
  <si>
    <t>es0064</t>
  </si>
  <si>
    <t>Plath_2009_BehavioralEcologyAndSociobiology</t>
  </si>
  <si>
    <t>10.1007/s00265-008-0672-7</t>
  </si>
  <si>
    <t>Audience effect alters male (not female) preferences. Not MCC. Model female place in central position of tank, not associated with particular male.</t>
  </si>
  <si>
    <t>es0065</t>
  </si>
  <si>
    <t>Pusiak_2020_AnimalBehaviour</t>
  </si>
  <si>
    <t>10.1016/j.anbehav.2020.02.008</t>
  </si>
  <si>
    <t>"Focal observer males were simultaneously presented with a large and a small female as potential mates. In Preference test 1 (20 min), baseline preference was measured without social information. During the viewing period (20 min), a model male was placed in a clear Plexiglas cylinder adjacent to the initially nonpreferred female, and a pseudo-model female was placed (hidden from the focal male) near the other male to control for differential activity. In Preference test 2 (20 min), the model was removed and the focal male's preference was remeasured. Three experimental treatments varied observer-model relative phenotype (matched, model larger/more colourful, model smaller/less colourful). The control had no model male."</t>
  </si>
  <si>
    <t>Figure 2c, page 7. Proportion of focal males reversing initial preference in each treatment. Supplemented by in-text G-test and paired t-test p-values.</t>
  </si>
  <si>
    <t>Count data of males reversing vs not reversing initial preference (approximate from Figure 2c)</t>
  </si>
  <si>
    <t>Paired t-tests within treatments: T2 P=0.002, T3 P&lt;0.0002, T4 P&lt;0.0001, Control P=0.135. G-test across treatments: Gadj,3=7.82, P&lt;0.05. Linear model on difference scores: F3,150=3.602, P=0.015. Between experimental treatments: all P&gt;0.65.</t>
  </si>
  <si>
    <t>Three experimental treatments (matched, model larger, model smaller; N=40 each) pooled into one experimental group (N=120) vs control (N=40). No difference in copying strength between experimental treatments. Reversal counts approximate from Figure 2c.</t>
  </si>
  <si>
    <t>Data pooled across 3 experimental treatments that did not differ from each other (all P&gt;0.65). All 3 experimental treatments showed significant copying vs control. Reversal counts are approximate from Figure 2c since exact counts are not reported in text. Raw data available at Mendeley Data (doi:10.17632/t2d7h3jsmc.1).</t>
  </si>
  <si>
    <t>[converted from OR] d=ln(OR)×√3/π×J; OR=2.4663, Var(logOR)=0.1588, n=160, J=0.9953</t>
  </si>
  <si>
    <t>OR=(A×D)/(B×C); Var(logOR)=1/A+1/B+1/C+1/D; A=58.0,B=62.0,C=11.0,D=29.0</t>
  </si>
  <si>
    <t>es0066</t>
  </si>
  <si>
    <t>Schütz_2000_JournalOfFishBiology</t>
  </si>
  <si>
    <t>10.1111/j.1095-8649.2000.tb00485.x</t>
  </si>
  <si>
    <t>Lamprologus callipterus</t>
  </si>
  <si>
    <t>Wild</t>
  </si>
  <si>
    <t>Exclude. Not the study design necessary. Measured number of new females per day visiting territories with/without breeding females.</t>
  </si>
  <si>
    <t>es0067</t>
  </si>
  <si>
    <t>Silva_2014_UniversidadeLisboa</t>
  </si>
  <si>
    <t>Drosophila subobscura</t>
  </si>
  <si>
    <t>PT females observed demonstrator female in "+" (positive) treatment; pre vs post change in preference for own-population (PT) males coded (Gen 6)</t>
  </si>
  <si>
    <t>Fig 2B; GLMM (LRT) before vs after "+" treatment Gen 6; p&lt;0.001</t>
  </si>
  <si>
    <t>GLMM p-value (LRT)</t>
  </si>
  <si>
    <t>p&lt;0.001</t>
  </si>
  <si>
    <t>Gen 6; pre-demo ~80% prefer PT (C=72/90); post-demo ~50% prefer PT (A=45/90)</t>
  </si>
  <si>
    <t>PT females significantly decreased preference for PT males after "+" treatment at Gen 6 (avoidance). Counts approximated: pre 80%x90=72; post 50%x90=45.</t>
  </si>
  <si>
    <t>Counts approximated from percentages x n=90/treatment; exact counts in appendix tables S1-S10; mating step did not reflect MCC (p=0.51 Gen6; p=0.41 Gen10); no DOI (master's dissertation)</t>
  </si>
  <si>
    <t>[converted from OR] d=ln(OR)×√3/π×J; OR=0.25, Var(logOR)=0.1139, n=180, J=0.9958</t>
  </si>
  <si>
    <t>OR = (A*D)/(B*C); A/B = post-demo counts; C/D = pre-demo counts approximated from reported percentages x n=90</t>
  </si>
  <si>
    <t>es0068</t>
  </si>
  <si>
    <t>PT females observed demonstrator female in "+" treatment; pre vs post change in preference for own-population (PT) males coded (Gen 10)</t>
  </si>
  <si>
    <t>Fig 5B; GLMM (LRT) before vs after "+" treatment Gen 10; p=0.002</t>
  </si>
  <si>
    <t>p=0.002</t>
  </si>
  <si>
    <t>Gen 10; pre-demo ~81% prefer TA (PT preference ~19%; C=17/90); post-demo ~50% prefer PT (A=45/90)</t>
  </si>
  <si>
    <t>PT females significantly increased preference for PT males after "+" treatment at Gen 10 (MCC). Counts approximated: pre 19%x90=17; post 50%x90=45.</t>
  </si>
  <si>
    <t>[converted from OR] d=ln(OR)×√3/π×J; OR=4.2941, Var(logOR)=0.117, n=180, J=0.9958</t>
  </si>
  <si>
    <t>es0069</t>
  </si>
  <si>
    <t>NL females observed demonstrator female in "+" treatment; pre vs post change in preference for own-population (NL) males coded (Gen 6)</t>
  </si>
  <si>
    <t>Text; GLMM treatment effect Gen 6 NL females; p=0.48</t>
  </si>
  <si>
    <t>p=0.48</t>
  </si>
  <si>
    <t>Gen 6 NL; no significant before-after change (~76% assortative before and after)</t>
  </si>
  <si>
    <t>NL females did not show MCC at Gen 6 (GLMM p=0.48). Pre and post preference maintained (~76% assortative). Counts approximated: 76%x90=68.</t>
  </si>
  <si>
    <t>[converted from OR] d=ln(OR)×√3/π×J; OR=1.0, Var(logOR)=0.1203, n=180, J=0.9958</t>
  </si>
  <si>
    <t>es0070</t>
  </si>
  <si>
    <t>NL females observed demonstrator female in "+" treatment; pre vs post change in preference for own-population (NL) males coded (Gen 10)</t>
  </si>
  <si>
    <t>Text; GLMM treatment effect Gen 10 NL females; p=0.9294</t>
  </si>
  <si>
    <t>p=0.9294</t>
  </si>
  <si>
    <t>Gen 10 NL; no significant before-after change (~73% assortative before and after)</t>
  </si>
  <si>
    <t>NL females did not show MCC at Gen 10 (GLMM p=0.9294). Pre and post preference maintained (~73% assortative). Counts approximated: 73%x90=66.</t>
  </si>
  <si>
    <t>[converted from OR] d=ln(OR)×√3/π×J; OR=1.0, Var(logOR)=0.1136, n=180, J=0.9958</t>
  </si>
  <si>
    <t>es0071</t>
  </si>
  <si>
    <t>Witte_2018_Biology</t>
  </si>
  <si>
    <t>10.3390/biology7030040</t>
  </si>
  <si>
    <t>Audience male (N=20) watched focal male's altered mate choice from Plexiglas cylinder (Phase 2, audience effect), then made own choice in Phase 3. Single mate-choice test (Day 1) = pre-test. Stimulus: two females differing in body length ~5mm. Focal and audience males matched for body length and initial preference (both preferred larger female).</t>
  </si>
  <si>
    <t>Results 3.2, p.8-9; Fig 2a, Table S3; Wilcoxon matched-pairs (single test vs Phase 3): N=20, V=158, p=0.048</t>
  </si>
  <si>
    <t>Wilcoxon V (matched-pairs)</t>
  </si>
  <si>
    <t>V=158</t>
  </si>
  <si>
    <t>N=20; p=0.048; single test (Day 1): 17/20 prefer large female; Phase 3: 13/20 prefer large female</t>
  </si>
  <si>
    <t>Audience males significantly decreased preference for large female (copied focal's audience-effect shift toward non-preferred small female). Phase 3 absolute preference NS (V=115, p=0.729). Focal males: Phase 1 17/20 prefer large → Phase 2 11/20 prefer large (audience effect, V=195, p&lt;0.001).</t>
  </si>
  <si>
    <t>Deception hypothesis test: audience copied focal's PRETENDED (not real) mate preference. Focal and audience matched for body length and initial preference. C/D from actual Day-1 single mate-choice test counts (not 50/50); D=3 yields high Var. LM audience fish: treatment NS (p=0.686).</t>
  </si>
  <si>
    <t>[converted from OR] d=ln(OR)×√3/π×J; OR=0.3277, Var(logOR)=0.6119, n=20, J=0.96</t>
  </si>
  <si>
    <t>OR=(A*D)/(B*C); A/B=Phase 3 counts (large/small preferred); C/D=single mate-choice test (Day 1) actual counts</t>
  </si>
  <si>
    <t>es0072</t>
  </si>
  <si>
    <t>Audience female (N=20) watched focal female's altered mate choice from Plexiglas cylinder (Phase 2, audience effect), then made own choice in Phase 3. Single mate-choice test (Day 1) = pre-test. Stimulus: two males differing in body length ~5mm. Focal and audience females matched for body length and initial preference.</t>
  </si>
  <si>
    <t>Results 3.3, p.10-12; Fig 3a, Table S4; Wilcoxon matched-pairs (single test vs Phase 3): N=20, V=166, p=0.022</t>
  </si>
  <si>
    <t>V=166</t>
  </si>
  <si>
    <t>N=20; p=0.022; single test (Day 1): 13/20 prefer large male; Phase 3: 16/20 prefer large male (BUT association time with preferred decreased)</t>
  </si>
  <si>
    <t>Audience females significantly decreased time with initially-preferred male (Wilcoxon V=166, p=0.022) yet 16/20 preferred large in Phase 3 vs 13/20 before — count-vs-time paradox. Likely: the 7/20 initially preferring small shifted to large (net count +3) while 13 large-preferrers reduced time. Phase 3 absolute preference NS (V=131, p=0.153). Focal females: audience effect trend only (V=154, p=0.07; LM p=0.046). LM audience fish: treatment NS (p=0.686).</t>
  </si>
  <si>
    <t>Same design as Exp001 (female observers). Count-based OR&gt;1 contradicts time-based Wilcoxon decrease; counts unreliable as effect direction indicator here. C/D from actual Day-1 single mate-choice test counts.</t>
  </si>
  <si>
    <t>[converted from OR] d=ln(OR)×√3/π×J; OR=2.1538, Var(logOR)=0.5323, n=20, J=0.96</t>
  </si>
  <si>
    <t>es0073</t>
  </si>
  <si>
    <t>Yang_2025_JournalOfAnimalEcology</t>
  </si>
  <si>
    <t>10.1111/1365-2656.14043</t>
  </si>
  <si>
    <t>Social learning of mating tactics (courtship plasticity), not copying of mate choice.</t>
  </si>
  <si>
    <t>es0074</t>
  </si>
  <si>
    <t>Ziege_2009_FrontiersInZoology</t>
  </si>
  <si>
    <t>10.1186/1742-9994-6-17</t>
  </si>
  <si>
    <t>Ziege 2009 is an audience effect study (focal male concealing preference to prevent rival copying), not a standard MCC test where the audience copies</t>
  </si>
  <si>
    <t>es0075</t>
  </si>
  <si>
    <t>Ziege_2012_CurrentZoology</t>
  </si>
  <si>
    <t>10.1093/czoolo/58.1.84</t>
  </si>
  <si>
    <t>Focal male (full-contact) made mate choice in Part 2 after rival male interacted sexually with NON-PREFERRED (small) female during habituation. Treatment 5 = specific sperm competition risk for non-preferred female. Compared to Treatment 1 (empty cylinder, no rival, n=30).</t>
  </si>
  <si>
    <t>Table 1c, p.90; Results text p.89-90; Table 2b GLM (nipping treatment effect F4,286=1.639, p=0.164 NS)</t>
  </si>
  <si>
    <t>Continuous means (SE)</t>
  </si>
  <si>
    <t>Nipping to large: Tr5=26±6 SE; Tr1=16±2 SE; n=29 vs n=30</t>
  </si>
  <si>
    <t>Within-Tr5 paired t (large vs small): t28=3.71, p&lt;0.001 — focal strongly preferred large. Nipping GLM treatment NS (p=0.164); Tr5 vs Tr1 NS in post-hoc. Positive g: Tr5 nipped MORE toward large than Tr1 control — no MCC detected.</t>
  </si>
  <si>
    <t>Treatment 5 (rival male with NON-PREFERRED small female). Focal did NOT copy rival's choice of small female; preference for large maintained/strengthened. Positive g is opposite direction from MCC. Rival active: mean 24±7 nips and 11±4 thrusts toward small female. See Exp001 for full study description.</t>
  </si>
  <si>
    <t>Hedges' g = (m_Tr5 - m_Tr1)/SD_pooled * J; SE converted to SD via SD=SE*sqrt(n); n_Tr5=29, n_Tr1=30</t>
  </si>
  <si>
    <t>[converted from Hedges' D] logOR=g×π/√3; g=0.4119, Var(g)=0.0693</t>
  </si>
  <si>
    <t>es0076</t>
  </si>
  <si>
    <t>Table 1b, p.90; Results text p.89-90; Table 2a GLM (thrusting treatment effect F4,286=2.780, p=0.027)</t>
  </si>
  <si>
    <t>Thrusting to large: Tr5=10±2 SE; Tr1=8±2 SE; n=29 vs n=30</t>
  </si>
  <si>
    <t>Within-Tr5 paired t (large vs small): t28=3.46, p=0.002 — preference for large maintained. Thrusting GLM p=0.027; post-hoc: Tr2 vs Tr5 p=0.020 (Tr2 had strongest audience effect); Tr5 vs Tr1 NS. Focal maintained preference for large; no shift toward rival's chosen small female.</t>
  </si>
  <si>
    <t>[converted from Hedges' D] logOR=g×π/√3; g=0.1817, Var(g)=0.0681</t>
  </si>
  <si>
    <t>ML</t>
  </si>
  <si>
    <t>Virgin</t>
  </si>
  <si>
    <t>Table1</t>
  </si>
  <si>
    <t>Count data by decision and group</t>
  </si>
  <si>
    <t xml:space="preserve"> inferential test on page 178</t>
  </si>
  <si>
    <t>Manipulated</t>
  </si>
  <si>
    <t>Signal response (sound)</t>
  </si>
  <si>
    <t>"air formation occurs through maleefemale signal duets", used synthtic test signals</t>
  </si>
  <si>
    <t>Figure5</t>
  </si>
  <si>
    <t>Count of number of responses</t>
  </si>
  <si>
    <t>data needs to be extracted from the figure, and there are 3 different conditions. Its count of responses not count of individuals that copied mate choice, so different type of data than standard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</si>
</sst>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2"/>
      <color theme="1"/>
      <name val="Aptos Narrow"/>
      <family val="2"/>
      <scheme val="minor"/>
    </font>
    <font>
      <b/>
      <sz val="11"/>
      <color rgb="FF000000"/>
      <name val="Arial"/>
      <family val="2"/>
    </font>
    <font>
      <sz val="11"/>
      <color rgb="FF000000"/>
      <name val="Arial"/>
      <family val="2"/>
    </font>
    <font>
      <sz val="11"/>
      <name val="Arial"/>
      <family val="2"/>
    </font>
    <font>
      <sz val="11"/>
      <color rgb="FF1F1F1F"/>
      <name val="Arial"/>
      <family val="2"/>
    </font>
    <font>
      <b/>
      <sz val="11"/>
      <color theme="1"/>
      <name val="Arial"/>
      <family val="2"/>
    </font>
    <font>
      <sz val="11"/>
      <color rgb="FF000000"/>
      <name val="Aptos Narrow"/>
      <family val="2"/>
      <scheme val="minor"/>
    </font>
    <font>
      <sz val="11"/>
      <color theme="1"/>
      <name val="Aptos Narrow"/>
      <family val="2"/>
      <scheme val="minor"/>
    </font>
    <font>
      <b/>
      <sz val="12"/>
      <color rgb="FF1F1F1F"/>
      <name val="Arial"/>
      <family val="2"/>
    </font>
    <font>
      <sz val="10"/>
      <color theme="1"/>
      <name val="Aptos Narrow"/>
      <family val="2"/>
      <scheme val="minor"/>
    </font>
    <font>
      <b/>
      <sz val="11"/>
      <color theme="1"/>
      <name val="Arial "/>
    </font>
    <font>
      <sz val="11"/>
      <color rgb="FF000000"/>
      <name val="Arial "/>
    </font>
    <font>
      <sz val="11"/>
      <color theme="1"/>
      <name val="Arial "/>
    </font>
    <font>
      <sz val="11"/>
      <color rgb="FF1F1F1F"/>
      <name val="Arial "/>
    </font>
    <font>
      <sz val="11"/>
      <color rgb="FF434343"/>
      <name val="Arial "/>
    </font>
  </fonts>
  <fills count="8">
    <fill>
      <patternFill patternType="none"/>
    </fill>
    <fill>
      <patternFill patternType="gray125"/>
    </fill>
    <fill>
      <patternFill patternType="solid">
        <fgColor rgb="FFFFFFFF"/>
        <bgColor rgb="FFFFFFFF"/>
      </patternFill>
    </fill>
    <fill>
      <patternFill patternType="solid">
        <fgColor theme="2" tint="-0.249977111117893"/>
        <bgColor indexed="64"/>
      </patternFill>
    </fill>
    <fill>
      <patternFill patternType="solid">
        <fgColor theme="2" tint="-0.249977111117893"/>
        <bgColor rgb="FF356854"/>
      </patternFill>
    </fill>
    <fill>
      <patternFill patternType="solid">
        <fgColor rgb="FFF6F8F9"/>
        <bgColor rgb="FFF6F8F9"/>
      </patternFill>
    </fill>
    <fill>
      <patternFill patternType="solid">
        <fgColor rgb="FFFF0000"/>
        <bgColor rgb="FFFF0000"/>
      </patternFill>
    </fill>
    <fill>
      <patternFill patternType="solid">
        <fgColor rgb="FFFF9900"/>
        <bgColor rgb="FFFF9900"/>
      </patternFill>
    </fill>
  </fills>
  <borders count="6">
    <border>
      <left/>
      <right/>
      <top/>
      <bottom/>
      <diagonal/>
    </border>
    <border>
      <left/>
      <right/>
      <top/>
      <bottom style="thin">
        <color rgb="FF000000"/>
      </bottom>
      <diagonal/>
    </border>
    <border>
      <left/>
      <right style="thin">
        <color rgb="FF356854"/>
      </right>
      <top style="thin">
        <color rgb="FF356854"/>
      </top>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29">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wrapText="1"/>
    </xf>
    <xf numFmtId="0" fontId="2" fillId="0" borderId="0" xfId="0" applyFont="1" applyAlignment="1">
      <alignment horizontal="left" vertical="top" wrapText="1"/>
    </xf>
    <xf numFmtId="0" fontId="4" fillId="2" borderId="0" xfId="0" applyFont="1" applyFill="1"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5" fillId="4" borderId="2" xfId="0" applyFont="1" applyFill="1" applyBorder="1" applyAlignment="1">
      <alignment horizontal="left" vertical="center" wrapText="1"/>
    </xf>
    <xf numFmtId="0" fontId="7" fillId="0" borderId="0" xfId="0" applyFont="1" applyAlignment="1">
      <alignment vertical="center"/>
    </xf>
    <xf numFmtId="0" fontId="8" fillId="0" borderId="1" xfId="0" applyFont="1" applyBorder="1" applyAlignment="1">
      <alignment horizontal="left" wrapText="1"/>
    </xf>
    <xf numFmtId="0" fontId="9" fillId="0" borderId="0" xfId="0" applyFont="1"/>
    <xf numFmtId="0" fontId="6" fillId="5" borderId="0" xfId="0" applyFont="1" applyFill="1"/>
    <xf numFmtId="0" fontId="10" fillId="3" borderId="0" xfId="0" applyFont="1" applyFill="1" applyAlignment="1">
      <alignment horizontal="left" vertical="center" wrapText="1"/>
    </xf>
    <xf numFmtId="0" fontId="11" fillId="3" borderId="0" xfId="0" applyFont="1" applyFill="1"/>
    <xf numFmtId="49" fontId="10" fillId="3" borderId="0" xfId="0" applyNumberFormat="1" applyFont="1" applyFill="1" applyAlignment="1">
      <alignment horizontal="left" vertical="center" wrapText="1"/>
    </xf>
    <xf numFmtId="0" fontId="12" fillId="3" borderId="0" xfId="0" applyFont="1" applyFill="1" applyAlignment="1">
      <alignment horizontal="left" vertical="center"/>
    </xf>
    <xf numFmtId="0" fontId="12" fillId="0" borderId="0" xfId="0" applyFont="1" applyAlignment="1">
      <alignment vertical="center"/>
    </xf>
    <xf numFmtId="0" fontId="11" fillId="0" borderId="0" xfId="0" applyFont="1"/>
    <xf numFmtId="0" fontId="13" fillId="0" borderId="0" xfId="0" applyFont="1" applyAlignment="1">
      <alignment vertical="center"/>
    </xf>
    <xf numFmtId="0" fontId="14" fillId="0" borderId="0" xfId="0" applyFont="1"/>
    <xf numFmtId="0" fontId="14" fillId="5" borderId="3" xfId="0" applyFont="1" applyFill="1" applyBorder="1" applyAlignment="1">
      <alignment vertical="center"/>
    </xf>
    <xf numFmtId="0" fontId="13" fillId="5" borderId="4" xfId="0" applyFont="1" applyFill="1" applyBorder="1" applyAlignment="1">
      <alignment vertical="center"/>
    </xf>
    <xf numFmtId="0" fontId="13" fillId="5" borderId="4" xfId="0" applyFont="1" applyFill="1" applyBorder="1" applyAlignment="1">
      <alignment horizontal="right" vertical="center"/>
    </xf>
    <xf numFmtId="0" fontId="14" fillId="5" borderId="4" xfId="0" applyFont="1" applyFill="1" applyBorder="1" applyAlignment="1">
      <alignment vertical="center"/>
    </xf>
    <xf numFmtId="0" fontId="12" fillId="5" borderId="4" xfId="0" applyFont="1" applyFill="1" applyBorder="1" applyAlignment="1">
      <alignment vertical="center"/>
    </xf>
    <xf numFmtId="0" fontId="12" fillId="5" borderId="0" xfId="0" applyFont="1" applyFill="1" applyAlignment="1">
      <alignment vertical="center"/>
    </xf>
    <xf numFmtId="0" fontId="12" fillId="5" borderId="5" xfId="0" applyFont="1" applyFill="1" applyBorder="1" applyAlignment="1">
      <alignment vertical="center"/>
    </xf>
    <xf numFmtId="0" fontId="13" fillId="6" borderId="0" xfId="0" applyFont="1" applyFill="1" applyAlignment="1">
      <alignment vertical="center"/>
    </xf>
    <xf numFmtId="0" fontId="13" fillId="7" borderId="0" xfId="0" applyFont="1" applyFill="1" applyAlignment="1">
      <alignment vertical="center"/>
    </xf>
  </cellXfs>
  <cellStyles count="1">
    <cellStyle name="Normal" xfId="0" builtinId="0"/>
  </cellStyles>
  <dxfs count="60">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fill>
        <patternFill>
          <bgColor theme="2" tint="-0.249977111117893"/>
        </patternFill>
      </fill>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ont>
        <strike val="0"/>
        <outline val="0"/>
        <shadow val="0"/>
        <u val="none"/>
        <vertAlign val="baseline"/>
        <sz val="11"/>
        <name val="Arial "/>
        <scheme val="none"/>
      </font>
    </dxf>
    <dxf>
      <fill>
        <patternFill patternType="solid">
          <fgColor theme="8"/>
          <bgColor theme="8"/>
        </patternFill>
      </fill>
    </dxf>
    <dxf>
      <fill>
        <patternFill patternType="solid">
          <fgColor rgb="FFFBBC04"/>
          <bgColor rgb="FFFBBC04"/>
        </patternFill>
      </fill>
    </dxf>
    <dxf>
      <fill>
        <patternFill patternType="solid">
          <fgColor rgb="FFB7E1CD"/>
          <bgColor rgb="FFB7E1CD"/>
        </patternFill>
      </fill>
    </dxf>
    <dxf>
      <fill>
        <patternFill patternType="solid">
          <fgColor theme="8"/>
          <bgColor theme="8"/>
        </patternFill>
      </fill>
    </dxf>
    <dxf>
      <fill>
        <patternFill patternType="solid">
          <fgColor rgb="FFFBBC04"/>
          <bgColor rgb="FFFBBC04"/>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EduardoExtraction-style" pivot="0" count="4" xr9:uid="{A3D1F15C-ED74-7E41-A082-9514649B43C5}">
      <tableStyleElement type="wholeTable" size="0" dxfId="59"/>
      <tableStyleElement type="headerRow" dxfId="58"/>
      <tableStyleElement type="firstRowStripe" dxfId="57"/>
      <tableStyleElement type="secondRowStripe" dxfId="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449EB-034C-0E47-8DC7-F9320BB33341}" name="Table6" displayName="Table6" ref="A1:AU77" headerRowDxfId="2" dataDxfId="0" totalsRowDxfId="1">
  <autoFilter ref="A1:AU77" xr:uid="{97E449EB-034C-0E47-8DC7-F9320BB33341}"/>
  <tableColumns count="47">
    <tableColumn id="1" xr3:uid="{DB5D9A59-AAEB-A241-9311-F34A51BD8EF0}" name="identifierExtractor" dataDxfId="49"/>
    <tableColumn id="2" xr3:uid="{F40B866E-46F9-8C4F-A9B6-6B60A705E1E3}" name="identifierStudyId" dataDxfId="48"/>
    <tableColumn id="3" xr3:uid="{A9DDC2A6-7318-9642-AA36-10E7149E6EF3}" name="identifierStudyYear" dataDxfId="47"/>
    <tableColumn id="4" xr3:uid="{71F70EE4-3DC2-E14B-98A2-F9CB5439E463}" name="identifierStudyDoi" dataDxfId="46"/>
    <tableColumn id="5" xr3:uid="{983513C9-9040-FB40-8C65-4484E4B3B536}" name="taxonomySpecies" dataDxfId="45"/>
    <tableColumn id="6" xr3:uid="{BBAA3805-EF91-624C-B589-EE7D55FFD1F2}" name="experimentalSpeciesOrigin" dataDxfId="44"/>
    <tableColumn id="7" xr3:uid="{FCC0D2FD-F140-7441-A700-192BC0C30E37}" name="identifierExperimentId" dataDxfId="43"/>
    <tableColumn id="8" xr3:uid="{D12E62D0-9D27-384B-9D67-EDAC6174B5A9}" name="experimentalDesignType" dataDxfId="42"/>
    <tableColumn id="9" xr3:uid="{D3578E14-AC1D-EB4A-A629-334B144DBE93}" name="experimentalModelPairing" dataDxfId="41"/>
    <tableColumn id="10" xr3:uid="{30F8ADE3-D78B-9C4E-B1B2-487EC300E27E}" name="experimentalTypeCopyingMechanism" dataDxfId="40"/>
    <tableColumn id="11" xr3:uid="{456C1072-BD92-6046-AE56-EDACA565F226}" name="experimentalTypeStimulus" dataDxfId="39"/>
    <tableColumn id="12" xr3:uid="{8A586C71-977C-7844-9139-2F6C285E46AC}" name="experimentalTypeChoiceTest" dataDxfId="38"/>
    <tableColumn id="13" xr3:uid="{1FF3CB09-0300-0A43-AFAC-2496AC977AE6}" name="experimentalTypeTestDescription" dataDxfId="37"/>
    <tableColumn id="14" xr3:uid="{E1164ED1-691B-1447-B5B0-92611E6290CE}" name="experimentalTypeSex" dataDxfId="36"/>
    <tableColumn id="15" xr3:uid="{A6B91430-639B-074F-A991-A07B7097027D}" name="experimentalTypeVirgin" dataDxfId="35"/>
    <tableColumn id="16" xr3:uid="{C0209916-95EE-3A46-B0F4-FC4354EDA45C}" name="experimentalModelAge" dataDxfId="34"/>
    <tableColumn id="17" xr3:uid="{2011A80D-6A98-6347-9901-A3DD63832D93}" name="effectSizeSourceType" dataDxfId="33"/>
    <tableColumn id="18" xr3:uid="{7B0D63C2-4EA1-114D-9328-2BA848C50E06}" name="effectSizeSourceDetails" dataDxfId="32"/>
    <tableColumn id="19" xr3:uid="{E4448D55-9F08-DF4A-A7A5-D6D8F77E3066}" name="effectSizeEstimateType" dataDxfId="31"/>
    <tableColumn id="20" xr3:uid="{7AD1C83E-03F7-154C-8DCE-072CF8C7877B}" name="effectSizeEstimateValue" dataDxfId="30"/>
    <tableColumn id="21" xr3:uid="{7E567C9D-622D-E14F-A02D-183AC2502CC1}" name="effectSizeEstimateExtra" dataDxfId="29"/>
    <tableColumn id="22" xr3:uid="{B6FD3F35-3579-8540-89FD-D6121E134326}" name="effectSizeEstimateNotes" dataDxfId="28"/>
    <tableColumn id="23" xr3:uid="{FECDE26C-A644-BB45-B07B-58D6D1FDF917}" name="effectSizeDirection" dataDxfId="27"/>
    <tableColumn id="24" xr3:uid="{1C6BD9AE-A05E-8F46-805E-FC9E65560EC0}" name="effectSizeSampleSizeA" dataDxfId="26"/>
    <tableColumn id="25" xr3:uid="{098FF7F3-2728-DF48-9A4D-3E3995B1420D}" name="effectSizeSampleSizeB" dataDxfId="25"/>
    <tableColumn id="26" xr3:uid="{68134223-B2A4-744A-9068-78FCB2D1F840}" name="effectSizeSampleSizeC" dataDxfId="24"/>
    <tableColumn id="27" xr3:uid="{92D0969F-F5FF-E643-95D8-4AA914243C69}" name="effectSizeSampleSizeD" dataDxfId="23"/>
    <tableColumn id="28" xr3:uid="{391F399A-2B1F-2F45-84E6-E65F91272C76}" name="effectSizesampleSize" dataDxfId="22"/>
    <tableColumn id="29" xr3:uid="{96BE3409-663C-4E41-950B-277A677EF1BC}" name="controlMean" dataDxfId="21"/>
    <tableColumn id="30" xr3:uid="{9F830133-B182-5845-855D-21DA97A63F13}" name="controlSD" dataDxfId="20"/>
    <tableColumn id="31" xr3:uid="{34FAF2C4-428D-4149-841E-24F8F6A19073}" name="controlSE" dataDxfId="19"/>
    <tableColumn id="32" xr3:uid="{5DF58CF2-4231-0644-8D1D-5B7851A64541}" name="controlN" dataDxfId="18"/>
    <tableColumn id="33" xr3:uid="{61469D33-0E11-9B45-AE40-48F3597A92EE}" name="treatmentMean" dataDxfId="17"/>
    <tableColumn id="34" xr3:uid="{C996DB96-1DBC-2941-A0C8-C83106BFA00B}" name="treatmentSD" dataDxfId="16"/>
    <tableColumn id="35" xr3:uid="{6D30952A-39C6-CB45-9B51-92FBBF4AC74B}" name="treatmentSE" dataDxfId="15"/>
    <tableColumn id="36" xr3:uid="{8BBE60D8-9BAD-EB46-A6A4-B31BBF9214B9}" name="treatmentN" dataDxfId="14"/>
    <tableColumn id="37" xr3:uid="{C2A38E50-B1D9-E440-9959-49C758AF57BB}" name="descritionStudyComplexity" dataDxfId="13"/>
    <tableColumn id="38" xr3:uid="{181FADB4-A9B4-BC46-8DDB-A2C03D5EB80E}" name="effectSizeDataTypeForCalculation" dataDxfId="12"/>
    <tableColumn id="39" xr3:uid="{912EAD23-33F6-CC41-99AA-9AB5E2FB2DEB}" name="descriptionGeneralNote" dataDxfId="11"/>
    <tableColumn id="40" xr3:uid="{149F3A48-6134-FF48-8E5B-4390548C0792}" name="effectSizeCalculatedHedgesD" dataDxfId="10"/>
    <tableColumn id="41" xr3:uid="{D64669C0-6087-3D47-9901-D4632AD62568}" name="effectSizeCalculatedHedgesDVariance" dataDxfId="9"/>
    <tableColumn id="42" xr3:uid="{388D146B-3E15-0642-8620-4E552753577E}" name="effectSizeHedgesDHowCalculated" dataDxfId="8"/>
    <tableColumn id="43" xr3:uid="{0D5DC710-67D6-1242-A7A9-033C089D485D}" name="effectSizeCalculatedOddsRatio" dataDxfId="7"/>
    <tableColumn id="44" xr3:uid="{C9B76442-8E07-4F4A-866A-8A565B70D9D5}" name="effectSizeCalculatedOddsRatioVariance" dataDxfId="6"/>
    <tableColumn id="45" xr3:uid="{DD14C7AC-EB07-E544-9977-3A24579E917E}" name="effectSizeOddsRatioHowCalculated" dataDxfId="5"/>
    <tableColumn id="46" xr3:uid="{F3B7075C-9FCA-8C4F-8187-C518F6F97E31}" name="InformationCheckedColumnsFilled" dataDxfId="4"/>
    <tableColumn id="47" xr3:uid="{82025493-9A53-1E4C-B7D5-3743518D0DBB}" name="RemoveFromDataset" dataDxfId="3"/>
  </tableColumns>
  <tableStyleInfo name="EduardoExtraction-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EE6F-77BB-FA4B-B087-D7B76771D62D}">
  <dimension ref="A1:F49"/>
  <sheetViews>
    <sheetView workbookViewId="0">
      <selection activeCell="B7" sqref="B7"/>
    </sheetView>
  </sheetViews>
  <sheetFormatPr baseColWidth="10" defaultRowHeight="16"/>
  <cols>
    <col min="1" max="1" width="18.5" style="5" bestFit="1" customWidth="1"/>
    <col min="2" max="2" width="31.5" style="5" customWidth="1"/>
    <col min="3" max="3" width="22.6640625" style="5" customWidth="1"/>
    <col min="4" max="4" width="21.6640625" style="5" customWidth="1"/>
    <col min="5" max="5" width="21.83203125" style="5" customWidth="1"/>
    <col min="6" max="16384" width="10.83203125" style="5"/>
  </cols>
  <sheetData>
    <row r="1" spans="1:6" ht="45">
      <c r="A1" s="1" t="s">
        <v>0</v>
      </c>
      <c r="B1" s="1" t="s">
        <v>1</v>
      </c>
      <c r="C1" s="1" t="s">
        <v>2</v>
      </c>
      <c r="D1" s="1" t="s">
        <v>3</v>
      </c>
      <c r="E1" s="1" t="s">
        <v>4</v>
      </c>
      <c r="F1" s="1" t="s">
        <v>5</v>
      </c>
    </row>
    <row r="2" spans="1:6" ht="30">
      <c r="A2" s="3" t="s">
        <v>6</v>
      </c>
      <c r="B2" s="3" t="s">
        <v>7</v>
      </c>
      <c r="C2" s="3" t="s">
        <v>8</v>
      </c>
      <c r="D2" s="3" t="s">
        <v>9</v>
      </c>
      <c r="E2" s="3" t="s">
        <v>9</v>
      </c>
      <c r="F2" s="6" t="s">
        <v>10</v>
      </c>
    </row>
    <row r="3" spans="1:6">
      <c r="A3" s="5" t="s">
        <v>11</v>
      </c>
      <c r="B3" s="5" t="s">
        <v>12</v>
      </c>
      <c r="C3" s="5" t="s">
        <v>13</v>
      </c>
      <c r="D3" s="5" t="s">
        <v>9</v>
      </c>
      <c r="E3" s="5" t="s">
        <v>9</v>
      </c>
      <c r="F3" s="5" t="s">
        <v>14</v>
      </c>
    </row>
    <row r="4" spans="1:6" ht="45">
      <c r="A4" s="3" t="s">
        <v>15</v>
      </c>
      <c r="B4" s="3" t="s">
        <v>16</v>
      </c>
      <c r="C4" s="3" t="s">
        <v>17</v>
      </c>
      <c r="D4" s="3" t="s">
        <v>18</v>
      </c>
      <c r="E4" s="3" t="s">
        <v>18</v>
      </c>
      <c r="F4" s="6" t="s">
        <v>10</v>
      </c>
    </row>
    <row r="5" spans="1:6" ht="75">
      <c r="A5" s="3" t="s">
        <v>19</v>
      </c>
      <c r="B5" s="3" t="s">
        <v>20</v>
      </c>
      <c r="C5" s="3" t="s">
        <v>21</v>
      </c>
      <c r="D5" s="3" t="s">
        <v>18</v>
      </c>
      <c r="E5" s="3" t="s">
        <v>18</v>
      </c>
      <c r="F5" s="6" t="s">
        <v>10</v>
      </c>
    </row>
    <row r="6" spans="1:6" ht="30">
      <c r="A6" s="3" t="s">
        <v>22</v>
      </c>
      <c r="B6" s="3" t="s">
        <v>23</v>
      </c>
      <c r="C6" s="3" t="s">
        <v>24</v>
      </c>
      <c r="D6" s="3" t="s">
        <v>9</v>
      </c>
      <c r="E6" s="3" t="s">
        <v>9</v>
      </c>
      <c r="F6" s="6" t="s">
        <v>10</v>
      </c>
    </row>
    <row r="7" spans="1:6">
      <c r="A7" s="3" t="s">
        <v>25</v>
      </c>
      <c r="B7" s="3" t="s">
        <v>26</v>
      </c>
      <c r="C7" s="3" t="s">
        <v>27</v>
      </c>
      <c r="D7" s="3" t="s">
        <v>18</v>
      </c>
      <c r="E7" s="3" t="s">
        <v>18</v>
      </c>
      <c r="F7" s="6" t="s">
        <v>10</v>
      </c>
    </row>
    <row r="8" spans="1:6" ht="90">
      <c r="A8" s="3" t="s">
        <v>28</v>
      </c>
      <c r="B8" s="3" t="s">
        <v>29</v>
      </c>
      <c r="C8" s="3" t="s">
        <v>30</v>
      </c>
      <c r="D8" s="3" t="s">
        <v>18</v>
      </c>
      <c r="E8" s="3" t="s">
        <v>18</v>
      </c>
      <c r="F8" s="6" t="s">
        <v>10</v>
      </c>
    </row>
    <row r="9" spans="1:6" ht="60">
      <c r="A9" s="3" t="s">
        <v>31</v>
      </c>
      <c r="B9" s="3" t="s">
        <v>32</v>
      </c>
      <c r="C9" s="3" t="s">
        <v>33</v>
      </c>
      <c r="D9" s="3" t="s">
        <v>18</v>
      </c>
      <c r="E9" s="3" t="s">
        <v>18</v>
      </c>
      <c r="F9" s="6" t="s">
        <v>10</v>
      </c>
    </row>
    <row r="10" spans="1:6" ht="30">
      <c r="A10" s="3" t="s">
        <v>34</v>
      </c>
      <c r="B10" s="3" t="s">
        <v>35</v>
      </c>
      <c r="C10" s="3" t="s">
        <v>36</v>
      </c>
      <c r="D10" s="3" t="s">
        <v>9</v>
      </c>
      <c r="E10" s="3" t="s">
        <v>18</v>
      </c>
      <c r="F10" s="6" t="s">
        <v>10</v>
      </c>
    </row>
    <row r="11" spans="1:6" ht="105">
      <c r="A11" s="3" t="s">
        <v>37</v>
      </c>
      <c r="B11" s="3" t="s">
        <v>38</v>
      </c>
      <c r="C11" s="3" t="s">
        <v>39</v>
      </c>
      <c r="D11" s="3" t="s">
        <v>9</v>
      </c>
      <c r="E11" s="3" t="s">
        <v>18</v>
      </c>
      <c r="F11" s="6" t="s">
        <v>10</v>
      </c>
    </row>
    <row r="12" spans="1:6" ht="135">
      <c r="A12" s="3" t="s">
        <v>40</v>
      </c>
      <c r="B12" s="4" t="s">
        <v>41</v>
      </c>
      <c r="C12" s="3" t="s">
        <v>42</v>
      </c>
      <c r="D12" s="3" t="s">
        <v>9</v>
      </c>
      <c r="E12" s="3" t="s">
        <v>18</v>
      </c>
      <c r="F12" s="6" t="s">
        <v>10</v>
      </c>
    </row>
    <row r="13" spans="1:6" ht="45">
      <c r="A13" s="3" t="s">
        <v>43</v>
      </c>
      <c r="B13" s="4" t="s">
        <v>44</v>
      </c>
      <c r="C13" s="3" t="s">
        <v>45</v>
      </c>
      <c r="D13" s="3"/>
      <c r="E13" s="3"/>
      <c r="F13" s="6" t="s">
        <v>10</v>
      </c>
    </row>
    <row r="14" spans="1:6" ht="45">
      <c r="A14" s="3" t="s">
        <v>46</v>
      </c>
      <c r="B14" s="3" t="s">
        <v>47</v>
      </c>
      <c r="C14" s="3" t="s">
        <v>48</v>
      </c>
      <c r="D14" s="3" t="s">
        <v>9</v>
      </c>
      <c r="E14" s="3" t="s">
        <v>18</v>
      </c>
      <c r="F14" s="6" t="s">
        <v>10</v>
      </c>
    </row>
    <row r="15" spans="1:6" ht="180">
      <c r="A15" s="3" t="s">
        <v>49</v>
      </c>
      <c r="B15" s="3" t="s">
        <v>50</v>
      </c>
      <c r="C15" s="3" t="s">
        <v>51</v>
      </c>
      <c r="D15" s="3" t="s">
        <v>9</v>
      </c>
      <c r="E15" s="3" t="s">
        <v>18</v>
      </c>
      <c r="F15" s="6" t="s">
        <v>10</v>
      </c>
    </row>
    <row r="16" spans="1:6" ht="30">
      <c r="A16" s="3" t="s">
        <v>52</v>
      </c>
      <c r="B16" s="3" t="s">
        <v>53</v>
      </c>
      <c r="C16" s="3" t="s">
        <v>54</v>
      </c>
      <c r="D16" s="3" t="s">
        <v>9</v>
      </c>
      <c r="E16" s="3" t="s">
        <v>18</v>
      </c>
      <c r="F16" s="6" t="s">
        <v>10</v>
      </c>
    </row>
    <row r="17" spans="1:6" ht="30">
      <c r="A17" s="3" t="s">
        <v>55</v>
      </c>
      <c r="B17" s="3" t="s">
        <v>56</v>
      </c>
      <c r="C17" s="3" t="s">
        <v>57</v>
      </c>
      <c r="D17" s="3" t="s">
        <v>18</v>
      </c>
      <c r="E17" s="3" t="s">
        <v>9</v>
      </c>
      <c r="F17" s="6" t="s">
        <v>10</v>
      </c>
    </row>
    <row r="18" spans="1:6" ht="45">
      <c r="A18" s="3" t="s">
        <v>58</v>
      </c>
      <c r="B18" s="3" t="s">
        <v>59</v>
      </c>
      <c r="C18" s="3" t="s">
        <v>60</v>
      </c>
      <c r="D18" s="3" t="s">
        <v>18</v>
      </c>
      <c r="E18" s="3" t="s">
        <v>9</v>
      </c>
      <c r="F18" s="6" t="s">
        <v>10</v>
      </c>
    </row>
    <row r="19" spans="1:6" ht="45">
      <c r="A19" s="3" t="s">
        <v>61</v>
      </c>
      <c r="B19" s="3" t="s">
        <v>62</v>
      </c>
      <c r="C19" s="3" t="s">
        <v>63</v>
      </c>
      <c r="D19" s="3" t="s">
        <v>9</v>
      </c>
      <c r="E19" s="3" t="s">
        <v>9</v>
      </c>
      <c r="F19" s="6" t="s">
        <v>10</v>
      </c>
    </row>
    <row r="20" spans="1:6" ht="75">
      <c r="A20" s="3" t="s">
        <v>64</v>
      </c>
      <c r="B20" s="3" t="s">
        <v>65</v>
      </c>
      <c r="C20" s="3" t="s">
        <v>66</v>
      </c>
      <c r="D20" s="3" t="s">
        <v>9</v>
      </c>
      <c r="E20" s="3" t="s">
        <v>9</v>
      </c>
      <c r="F20" s="6" t="s">
        <v>10</v>
      </c>
    </row>
    <row r="21" spans="1:6" ht="60">
      <c r="A21" s="3" t="s">
        <v>67</v>
      </c>
      <c r="B21" s="3" t="s">
        <v>68</v>
      </c>
      <c r="C21" s="3" t="s">
        <v>69</v>
      </c>
      <c r="D21" s="3" t="s">
        <v>9</v>
      </c>
      <c r="E21" s="3" t="s">
        <v>18</v>
      </c>
      <c r="F21" s="6" t="s">
        <v>10</v>
      </c>
    </row>
    <row r="22" spans="1:6" ht="30">
      <c r="A22" s="3" t="s">
        <v>70</v>
      </c>
      <c r="B22" s="3" t="s">
        <v>71</v>
      </c>
      <c r="C22" s="3" t="s">
        <v>72</v>
      </c>
      <c r="D22" s="3" t="s">
        <v>9</v>
      </c>
      <c r="E22" s="3" t="s">
        <v>18</v>
      </c>
      <c r="F22" s="6" t="s">
        <v>10</v>
      </c>
    </row>
    <row r="23" spans="1:6" ht="45">
      <c r="A23" s="3" t="s">
        <v>73</v>
      </c>
      <c r="B23" s="3" t="s">
        <v>74</v>
      </c>
      <c r="C23" s="3" t="s">
        <v>75</v>
      </c>
      <c r="D23" s="3" t="s">
        <v>9</v>
      </c>
      <c r="E23" s="3" t="s">
        <v>18</v>
      </c>
      <c r="F23" s="6" t="s">
        <v>10</v>
      </c>
    </row>
    <row r="24" spans="1:6" ht="60">
      <c r="A24" s="3" t="s">
        <v>76</v>
      </c>
      <c r="B24" s="3" t="s">
        <v>77</v>
      </c>
      <c r="C24" s="3" t="s">
        <v>78</v>
      </c>
      <c r="D24" s="3" t="s">
        <v>9</v>
      </c>
      <c r="E24" s="3" t="s">
        <v>9</v>
      </c>
      <c r="F24" s="6" t="s">
        <v>10</v>
      </c>
    </row>
    <row r="25" spans="1:6" ht="45">
      <c r="A25" s="3" t="s">
        <v>79</v>
      </c>
      <c r="B25" s="3" t="s">
        <v>80</v>
      </c>
      <c r="C25" s="3" t="s">
        <v>72</v>
      </c>
      <c r="D25" s="3" t="s">
        <v>9</v>
      </c>
      <c r="E25" s="3" t="s">
        <v>9</v>
      </c>
      <c r="F25" s="6" t="s">
        <v>10</v>
      </c>
    </row>
    <row r="26" spans="1:6" ht="45">
      <c r="A26" s="3" t="s">
        <v>81</v>
      </c>
      <c r="B26" s="3" t="s">
        <v>82</v>
      </c>
      <c r="C26" s="3" t="s">
        <v>72</v>
      </c>
      <c r="D26" s="3" t="s">
        <v>9</v>
      </c>
      <c r="E26" s="3" t="s">
        <v>9</v>
      </c>
      <c r="F26" s="6" t="s">
        <v>10</v>
      </c>
    </row>
    <row r="27" spans="1:6" ht="60">
      <c r="A27" s="3" t="s">
        <v>83</v>
      </c>
      <c r="B27" s="3" t="s">
        <v>84</v>
      </c>
      <c r="C27" s="3" t="s">
        <v>72</v>
      </c>
      <c r="D27" s="3" t="s">
        <v>9</v>
      </c>
      <c r="E27" s="3" t="s">
        <v>9</v>
      </c>
      <c r="F27" s="6" t="s">
        <v>10</v>
      </c>
    </row>
    <row r="28" spans="1:6" ht="30">
      <c r="A28" s="3" t="s">
        <v>85</v>
      </c>
      <c r="B28" s="3" t="s">
        <v>86</v>
      </c>
      <c r="C28" s="3" t="s">
        <v>72</v>
      </c>
      <c r="D28" s="3" t="s">
        <v>9</v>
      </c>
      <c r="E28" s="3" t="s">
        <v>9</v>
      </c>
      <c r="F28" s="6" t="s">
        <v>10</v>
      </c>
    </row>
    <row r="29" spans="1:6" ht="60">
      <c r="A29" s="3" t="s">
        <v>87</v>
      </c>
      <c r="B29" s="3" t="s">
        <v>88</v>
      </c>
      <c r="C29" s="3" t="s">
        <v>89</v>
      </c>
      <c r="D29" s="3" t="s">
        <v>9</v>
      </c>
      <c r="E29" s="3" t="s">
        <v>18</v>
      </c>
      <c r="F29" s="6" t="s">
        <v>10</v>
      </c>
    </row>
    <row r="30" spans="1:6" ht="75">
      <c r="A30" s="3" t="s">
        <v>90</v>
      </c>
      <c r="B30" s="3" t="s">
        <v>91</v>
      </c>
      <c r="C30" s="3" t="s">
        <v>92</v>
      </c>
      <c r="D30" s="3" t="s">
        <v>9</v>
      </c>
      <c r="E30" s="3" t="s">
        <v>9</v>
      </c>
      <c r="F30" s="6" t="s">
        <v>10</v>
      </c>
    </row>
    <row r="31" spans="1:6" ht="45">
      <c r="A31" s="3" t="s">
        <v>93</v>
      </c>
      <c r="B31" s="3" t="s">
        <v>94</v>
      </c>
      <c r="C31" s="3" t="s">
        <v>95</v>
      </c>
      <c r="D31" s="3" t="s">
        <v>9</v>
      </c>
      <c r="E31" s="3" t="s">
        <v>9</v>
      </c>
      <c r="F31" s="6" t="s">
        <v>10</v>
      </c>
    </row>
    <row r="32" spans="1:6" ht="75">
      <c r="A32" s="6" t="s">
        <v>96</v>
      </c>
      <c r="B32" s="6" t="s">
        <v>97</v>
      </c>
      <c r="C32" s="6" t="s">
        <v>98</v>
      </c>
      <c r="D32" s="6" t="s">
        <v>9</v>
      </c>
      <c r="E32" s="6" t="s">
        <v>9</v>
      </c>
      <c r="F32" s="6" t="s">
        <v>14</v>
      </c>
    </row>
    <row r="33" spans="1:6" ht="60">
      <c r="A33" s="6" t="s">
        <v>99</v>
      </c>
      <c r="B33" s="6" t="s">
        <v>100</v>
      </c>
      <c r="C33" s="6" t="s">
        <v>101</v>
      </c>
      <c r="D33" s="6" t="s">
        <v>9</v>
      </c>
      <c r="E33" s="6" t="s">
        <v>9</v>
      </c>
      <c r="F33" s="6" t="s">
        <v>14</v>
      </c>
    </row>
    <row r="34" spans="1:6" ht="60">
      <c r="A34" s="6" t="s">
        <v>102</v>
      </c>
      <c r="B34" s="6" t="s">
        <v>103</v>
      </c>
      <c r="C34" s="6" t="s">
        <v>104</v>
      </c>
      <c r="D34" s="6" t="s">
        <v>9</v>
      </c>
      <c r="E34" s="6" t="s">
        <v>9</v>
      </c>
      <c r="F34" s="6" t="s">
        <v>14</v>
      </c>
    </row>
    <row r="35" spans="1:6" ht="45">
      <c r="A35" s="6" t="s">
        <v>105</v>
      </c>
      <c r="B35" s="6" t="s">
        <v>106</v>
      </c>
      <c r="C35" s="6" t="s">
        <v>107</v>
      </c>
      <c r="D35" s="6" t="s">
        <v>9</v>
      </c>
      <c r="E35" s="6" t="s">
        <v>9</v>
      </c>
      <c r="F35" s="6" t="s">
        <v>14</v>
      </c>
    </row>
    <row r="36" spans="1:6" ht="30">
      <c r="A36" s="6" t="s">
        <v>108</v>
      </c>
      <c r="B36" s="6" t="s">
        <v>109</v>
      </c>
      <c r="C36" s="6" t="s">
        <v>110</v>
      </c>
      <c r="D36" s="6" t="s">
        <v>9</v>
      </c>
      <c r="E36" s="6" t="s">
        <v>9</v>
      </c>
      <c r="F36" s="6" t="s">
        <v>14</v>
      </c>
    </row>
    <row r="37" spans="1:6" ht="60">
      <c r="A37" s="6" t="s">
        <v>111</v>
      </c>
      <c r="B37" s="6" t="s">
        <v>112</v>
      </c>
      <c r="C37" s="6" t="s">
        <v>113</v>
      </c>
      <c r="D37" s="6" t="s">
        <v>9</v>
      </c>
      <c r="E37" s="6" t="s">
        <v>9</v>
      </c>
      <c r="F37" s="6" t="s">
        <v>14</v>
      </c>
    </row>
    <row r="38" spans="1:6" ht="60">
      <c r="A38" s="6" t="s">
        <v>114</v>
      </c>
      <c r="B38" s="6" t="s">
        <v>115</v>
      </c>
      <c r="C38" s="6" t="s">
        <v>116</v>
      </c>
      <c r="D38" s="6" t="s">
        <v>9</v>
      </c>
      <c r="E38" s="6" t="s">
        <v>9</v>
      </c>
      <c r="F38" s="6" t="s">
        <v>14</v>
      </c>
    </row>
    <row r="39" spans="1:6" ht="45">
      <c r="A39" s="6" t="s">
        <v>117</v>
      </c>
      <c r="B39" s="6" t="s">
        <v>118</v>
      </c>
      <c r="C39" s="6" t="s">
        <v>119</v>
      </c>
      <c r="D39" s="6" t="s">
        <v>9</v>
      </c>
      <c r="E39" s="6" t="s">
        <v>9</v>
      </c>
      <c r="F39" s="6" t="s">
        <v>14</v>
      </c>
    </row>
    <row r="40" spans="1:6" ht="30">
      <c r="A40" s="6" t="s">
        <v>120</v>
      </c>
      <c r="B40" s="6" t="s">
        <v>121</v>
      </c>
      <c r="C40" s="6" t="s">
        <v>122</v>
      </c>
      <c r="D40" s="6" t="s">
        <v>9</v>
      </c>
      <c r="E40" s="6" t="s">
        <v>9</v>
      </c>
      <c r="F40" s="6" t="s">
        <v>14</v>
      </c>
    </row>
    <row r="41" spans="1:6" ht="75">
      <c r="A41" s="6" t="s">
        <v>123</v>
      </c>
      <c r="B41" s="6" t="s">
        <v>124</v>
      </c>
      <c r="C41" s="6" t="s">
        <v>125</v>
      </c>
      <c r="D41" s="6" t="s">
        <v>9</v>
      </c>
      <c r="E41" s="6" t="s">
        <v>9</v>
      </c>
      <c r="F41" s="6" t="s">
        <v>14</v>
      </c>
    </row>
    <row r="42" spans="1:6" ht="60">
      <c r="A42" s="6" t="s">
        <v>126</v>
      </c>
      <c r="B42" s="6" t="s">
        <v>127</v>
      </c>
      <c r="C42" s="6" t="s">
        <v>128</v>
      </c>
      <c r="D42" s="6" t="s">
        <v>9</v>
      </c>
      <c r="E42" s="6" t="s">
        <v>9</v>
      </c>
      <c r="F42" s="6" t="s">
        <v>14</v>
      </c>
    </row>
    <row r="43" spans="1:6" ht="45">
      <c r="A43" s="6" t="s">
        <v>129</v>
      </c>
      <c r="B43" s="6" t="s">
        <v>130</v>
      </c>
      <c r="C43" s="6" t="s">
        <v>131</v>
      </c>
      <c r="D43" s="6" t="s">
        <v>9</v>
      </c>
      <c r="E43" s="6" t="s">
        <v>9</v>
      </c>
      <c r="F43" s="6" t="s">
        <v>14</v>
      </c>
    </row>
    <row r="44" spans="1:6" ht="75">
      <c r="A44" s="6" t="s">
        <v>132</v>
      </c>
      <c r="B44" s="6" t="s">
        <v>133</v>
      </c>
      <c r="C44" s="6" t="s">
        <v>134</v>
      </c>
      <c r="D44" s="6" t="s">
        <v>9</v>
      </c>
      <c r="E44" s="6" t="s">
        <v>9</v>
      </c>
      <c r="F44" s="6" t="s">
        <v>14</v>
      </c>
    </row>
    <row r="45" spans="1:6" ht="45">
      <c r="A45" s="6" t="s">
        <v>135</v>
      </c>
      <c r="B45" s="6" t="s">
        <v>136</v>
      </c>
      <c r="C45" s="6" t="s">
        <v>137</v>
      </c>
      <c r="D45" s="6" t="s">
        <v>9</v>
      </c>
      <c r="E45" s="6" t="s">
        <v>9</v>
      </c>
      <c r="F45" s="6" t="s">
        <v>14</v>
      </c>
    </row>
    <row r="46" spans="1:6" ht="45">
      <c r="A46" s="6" t="s">
        <v>138</v>
      </c>
      <c r="B46" s="6" t="s">
        <v>139</v>
      </c>
      <c r="C46" s="6" t="s">
        <v>140</v>
      </c>
      <c r="D46" s="6" t="s">
        <v>9</v>
      </c>
      <c r="E46" s="6" t="s">
        <v>9</v>
      </c>
      <c r="F46" s="6" t="s">
        <v>14</v>
      </c>
    </row>
    <row r="47" spans="1:6" ht="90">
      <c r="A47" s="6" t="s">
        <v>141</v>
      </c>
      <c r="B47" s="6" t="s">
        <v>142</v>
      </c>
      <c r="C47" s="6" t="s">
        <v>143</v>
      </c>
      <c r="D47" s="6" t="s">
        <v>9</v>
      </c>
      <c r="E47" s="6" t="s">
        <v>9</v>
      </c>
      <c r="F47" s="6" t="s">
        <v>14</v>
      </c>
    </row>
    <row r="48" spans="1:6" ht="60">
      <c r="A48" s="6" t="s">
        <v>144</v>
      </c>
      <c r="B48" s="6" t="s">
        <v>145</v>
      </c>
      <c r="C48" s="6" t="s">
        <v>146</v>
      </c>
      <c r="D48" s="6" t="s">
        <v>9</v>
      </c>
      <c r="E48" s="6" t="s">
        <v>9</v>
      </c>
      <c r="F48" s="6" t="s">
        <v>14</v>
      </c>
    </row>
    <row r="49" spans="1:6" ht="60">
      <c r="A49" s="6" t="s">
        <v>147</v>
      </c>
      <c r="B49" s="6" t="s">
        <v>148</v>
      </c>
      <c r="C49" s="6" t="s">
        <v>149</v>
      </c>
      <c r="D49" s="6" t="s">
        <v>9</v>
      </c>
      <c r="E49" s="6" t="s">
        <v>9</v>
      </c>
      <c r="F49" s="6"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B860-8C44-794C-A399-6ED493C36679}">
  <dimension ref="A1:AV77"/>
  <sheetViews>
    <sheetView tabSelected="1" workbookViewId="0">
      <selection activeCell="G23" sqref="G23"/>
    </sheetView>
  </sheetViews>
  <sheetFormatPr baseColWidth="10" defaultRowHeight="16"/>
  <sheetData>
    <row r="1" spans="1:48" ht="60">
      <c r="A1" s="12" t="s">
        <v>6</v>
      </c>
      <c r="B1" s="13" t="s">
        <v>11</v>
      </c>
      <c r="C1" s="12" t="s">
        <v>15</v>
      </c>
      <c r="D1" s="12" t="s">
        <v>19</v>
      </c>
      <c r="E1" s="12" t="s">
        <v>22</v>
      </c>
      <c r="F1" s="12" t="s">
        <v>25</v>
      </c>
      <c r="G1" s="12" t="s">
        <v>28</v>
      </c>
      <c r="H1" s="12" t="s">
        <v>31</v>
      </c>
      <c r="I1" s="12" t="s">
        <v>34</v>
      </c>
      <c r="J1" s="12" t="s">
        <v>37</v>
      </c>
      <c r="K1" s="12" t="s">
        <v>40</v>
      </c>
      <c r="L1" s="12" t="s">
        <v>43</v>
      </c>
      <c r="M1" s="12" t="s">
        <v>46</v>
      </c>
      <c r="N1" s="12" t="s">
        <v>49</v>
      </c>
      <c r="O1" s="12" t="s">
        <v>52</v>
      </c>
      <c r="P1" s="12" t="s">
        <v>55</v>
      </c>
      <c r="Q1" s="12" t="s">
        <v>58</v>
      </c>
      <c r="R1" s="12" t="s">
        <v>64</v>
      </c>
      <c r="S1" s="12" t="s">
        <v>61</v>
      </c>
      <c r="T1" s="12" t="s">
        <v>67</v>
      </c>
      <c r="U1" s="12" t="s">
        <v>70</v>
      </c>
      <c r="V1" s="12" t="s">
        <v>73</v>
      </c>
      <c r="W1" s="12" t="s">
        <v>76</v>
      </c>
      <c r="X1" s="14" t="s">
        <v>96</v>
      </c>
      <c r="Y1" s="12" t="s">
        <v>79</v>
      </c>
      <c r="Z1" s="12" t="s">
        <v>81</v>
      </c>
      <c r="AA1" s="12" t="s">
        <v>83</v>
      </c>
      <c r="AB1" s="12" t="s">
        <v>85</v>
      </c>
      <c r="AC1" s="12" t="s">
        <v>87</v>
      </c>
      <c r="AD1" s="14" t="s">
        <v>99</v>
      </c>
      <c r="AE1" s="14" t="s">
        <v>102</v>
      </c>
      <c r="AF1" s="14" t="s">
        <v>105</v>
      </c>
      <c r="AG1" s="14" t="s">
        <v>108</v>
      </c>
      <c r="AH1" s="14" t="s">
        <v>111</v>
      </c>
      <c r="AI1" s="14" t="s">
        <v>114</v>
      </c>
      <c r="AJ1" s="14" t="s">
        <v>117</v>
      </c>
      <c r="AK1" s="15" t="s">
        <v>120</v>
      </c>
      <c r="AL1" s="12" t="s">
        <v>90</v>
      </c>
      <c r="AM1" s="14" t="s">
        <v>123</v>
      </c>
      <c r="AN1" s="12" t="s">
        <v>93</v>
      </c>
      <c r="AO1" s="14" t="s">
        <v>126</v>
      </c>
      <c r="AP1" s="12" t="s">
        <v>129</v>
      </c>
      <c r="AQ1" s="12" t="s">
        <v>132</v>
      </c>
      <c r="AR1" s="12" t="s">
        <v>135</v>
      </c>
      <c r="AS1" s="12" t="s">
        <v>138</v>
      </c>
      <c r="AT1" s="12" t="s">
        <v>141</v>
      </c>
      <c r="AU1" s="12" t="s">
        <v>144</v>
      </c>
      <c r="AV1" s="7" t="s">
        <v>147</v>
      </c>
    </row>
    <row r="2" spans="1:48">
      <c r="A2" s="16" t="s">
        <v>150</v>
      </c>
      <c r="B2" s="17" t="s">
        <v>151</v>
      </c>
      <c r="C2" s="18" t="s">
        <v>152</v>
      </c>
      <c r="D2" s="18">
        <v>2024</v>
      </c>
      <c r="E2" s="18" t="s">
        <v>153</v>
      </c>
      <c r="F2" s="19" t="s">
        <v>154</v>
      </c>
      <c r="G2" s="16" t="s">
        <v>155</v>
      </c>
      <c r="H2" s="16" t="s">
        <v>156</v>
      </c>
      <c r="I2" s="16" t="s">
        <v>157</v>
      </c>
      <c r="J2" s="16" t="s">
        <v>158</v>
      </c>
      <c r="K2" s="16" t="s">
        <v>159</v>
      </c>
      <c r="L2" s="16" t="s">
        <v>160</v>
      </c>
      <c r="M2" s="16" t="s">
        <v>161</v>
      </c>
      <c r="N2" s="16" t="s">
        <v>162</v>
      </c>
      <c r="O2" s="16" t="s">
        <v>163</v>
      </c>
      <c r="P2" s="16" t="s">
        <v>18</v>
      </c>
      <c r="Q2" s="16" t="s">
        <v>164</v>
      </c>
      <c r="R2" s="16" t="s">
        <v>165</v>
      </c>
      <c r="S2" s="16" t="s">
        <v>166</v>
      </c>
      <c r="T2" s="16" t="s">
        <v>167</v>
      </c>
      <c r="U2" s="16">
        <v>0.375</v>
      </c>
      <c r="V2" s="16" t="s">
        <v>168</v>
      </c>
      <c r="W2" s="16" t="s">
        <v>169</v>
      </c>
      <c r="X2" s="16" t="s">
        <v>170</v>
      </c>
      <c r="Y2" s="16">
        <v>24</v>
      </c>
      <c r="Z2" s="16">
        <v>40</v>
      </c>
      <c r="AA2" s="16">
        <v>50</v>
      </c>
      <c r="AB2" s="16">
        <v>50</v>
      </c>
      <c r="AC2" s="16">
        <v>64</v>
      </c>
      <c r="AD2" s="16"/>
      <c r="AE2" s="16"/>
      <c r="AF2" s="16"/>
      <c r="AG2" s="16"/>
      <c r="AH2" s="16"/>
      <c r="AI2" s="16"/>
      <c r="AJ2" s="16"/>
      <c r="AK2" s="16"/>
      <c r="AL2" s="16" t="s">
        <v>171</v>
      </c>
      <c r="AM2" s="16" t="s">
        <v>172</v>
      </c>
      <c r="AN2" s="16" t="s">
        <v>173</v>
      </c>
      <c r="AO2" s="17">
        <v>-0.27829999999999999</v>
      </c>
      <c r="AP2" s="17">
        <v>3.1699999999999999E-2</v>
      </c>
      <c r="AQ2" s="17" t="s">
        <v>174</v>
      </c>
      <c r="AR2" s="17">
        <v>0.6</v>
      </c>
      <c r="AS2" s="17">
        <v>0.1067</v>
      </c>
      <c r="AT2" s="17" t="s">
        <v>175</v>
      </c>
      <c r="AU2" s="16" t="s">
        <v>18</v>
      </c>
      <c r="AV2" s="8" t="s">
        <v>9</v>
      </c>
    </row>
    <row r="3" spans="1:48">
      <c r="A3" s="16" t="s">
        <v>150</v>
      </c>
      <c r="B3" s="17" t="s">
        <v>176</v>
      </c>
      <c r="C3" s="18" t="s">
        <v>152</v>
      </c>
      <c r="D3" s="18">
        <v>2024</v>
      </c>
      <c r="E3" s="18" t="s">
        <v>153</v>
      </c>
      <c r="F3" s="19" t="s">
        <v>154</v>
      </c>
      <c r="G3" s="16" t="s">
        <v>155</v>
      </c>
      <c r="H3" s="16" t="s">
        <v>177</v>
      </c>
      <c r="I3" s="16" t="s">
        <v>157</v>
      </c>
      <c r="J3" s="16" t="s">
        <v>158</v>
      </c>
      <c r="K3" s="16" t="s">
        <v>159</v>
      </c>
      <c r="L3" s="16" t="s">
        <v>160</v>
      </c>
      <c r="M3" s="16" t="s">
        <v>161</v>
      </c>
      <c r="N3" s="16" t="s">
        <v>162</v>
      </c>
      <c r="O3" s="16" t="s">
        <v>163</v>
      </c>
      <c r="P3" s="16" t="s">
        <v>18</v>
      </c>
      <c r="Q3" s="16" t="s">
        <v>164</v>
      </c>
      <c r="R3" s="16" t="s">
        <v>165</v>
      </c>
      <c r="S3" s="16" t="s">
        <v>166</v>
      </c>
      <c r="T3" s="16" t="s">
        <v>167</v>
      </c>
      <c r="U3" s="16">
        <v>0.622</v>
      </c>
      <c r="V3" s="16" t="s">
        <v>178</v>
      </c>
      <c r="W3" s="16" t="s">
        <v>169</v>
      </c>
      <c r="X3" s="16" t="s">
        <v>179</v>
      </c>
      <c r="Y3" s="16">
        <v>46</v>
      </c>
      <c r="Z3" s="16">
        <v>28</v>
      </c>
      <c r="AA3" s="16">
        <v>50</v>
      </c>
      <c r="AB3" s="16">
        <v>50</v>
      </c>
      <c r="AC3" s="16">
        <v>74</v>
      </c>
      <c r="AD3" s="16"/>
      <c r="AE3" s="16"/>
      <c r="AF3" s="16"/>
      <c r="AG3" s="16"/>
      <c r="AH3" s="16"/>
      <c r="AI3" s="16"/>
      <c r="AJ3" s="16"/>
      <c r="AK3" s="16"/>
      <c r="AL3" s="16" t="s">
        <v>171</v>
      </c>
      <c r="AM3" s="16" t="s">
        <v>172</v>
      </c>
      <c r="AN3" s="16" t="s">
        <v>180</v>
      </c>
      <c r="AO3" s="17">
        <v>0.27089999999999997</v>
      </c>
      <c r="AP3" s="17">
        <v>2.9000000000000001E-2</v>
      </c>
      <c r="AQ3" s="17" t="s">
        <v>181</v>
      </c>
      <c r="AR3" s="17">
        <v>1.6429</v>
      </c>
      <c r="AS3" s="17">
        <v>9.7500000000000003E-2</v>
      </c>
      <c r="AT3" s="17" t="s">
        <v>182</v>
      </c>
      <c r="AU3" s="16" t="s">
        <v>18</v>
      </c>
      <c r="AV3" s="8" t="s">
        <v>9</v>
      </c>
    </row>
    <row r="4" spans="1:48">
      <c r="A4" s="16" t="s">
        <v>150</v>
      </c>
      <c r="B4" s="17" t="s">
        <v>183</v>
      </c>
      <c r="C4" s="18" t="s">
        <v>152</v>
      </c>
      <c r="D4" s="18">
        <v>2024</v>
      </c>
      <c r="E4" s="18" t="s">
        <v>153</v>
      </c>
      <c r="F4" s="19" t="s">
        <v>154</v>
      </c>
      <c r="G4" s="16" t="s">
        <v>155</v>
      </c>
      <c r="H4" s="16" t="s">
        <v>184</v>
      </c>
      <c r="I4" s="16" t="s">
        <v>157</v>
      </c>
      <c r="J4" s="16" t="s">
        <v>158</v>
      </c>
      <c r="K4" s="16" t="s">
        <v>159</v>
      </c>
      <c r="L4" s="16" t="s">
        <v>160</v>
      </c>
      <c r="M4" s="16" t="s">
        <v>161</v>
      </c>
      <c r="N4" s="16" t="s">
        <v>162</v>
      </c>
      <c r="O4" s="16" t="s">
        <v>163</v>
      </c>
      <c r="P4" s="16" t="s">
        <v>18</v>
      </c>
      <c r="Q4" s="16" t="s">
        <v>164</v>
      </c>
      <c r="R4" s="16" t="s">
        <v>165</v>
      </c>
      <c r="S4" s="16" t="s">
        <v>166</v>
      </c>
      <c r="T4" s="16" t="s">
        <v>167</v>
      </c>
      <c r="U4" s="16">
        <v>0.627</v>
      </c>
      <c r="V4" s="16" t="s">
        <v>185</v>
      </c>
      <c r="W4" s="16" t="s">
        <v>169</v>
      </c>
      <c r="X4" s="16" t="s">
        <v>179</v>
      </c>
      <c r="Y4" s="16">
        <v>42</v>
      </c>
      <c r="Z4" s="16">
        <v>25</v>
      </c>
      <c r="AA4" s="16">
        <v>50</v>
      </c>
      <c r="AB4" s="16">
        <v>50</v>
      </c>
      <c r="AC4" s="16">
        <v>67</v>
      </c>
      <c r="AD4" s="16"/>
      <c r="AE4" s="16"/>
      <c r="AF4" s="16"/>
      <c r="AG4" s="16"/>
      <c r="AH4" s="16"/>
      <c r="AI4" s="16"/>
      <c r="AJ4" s="16"/>
      <c r="AK4" s="16"/>
      <c r="AL4" s="16" t="s">
        <v>171</v>
      </c>
      <c r="AM4" s="16" t="s">
        <v>172</v>
      </c>
      <c r="AN4" s="16" t="s">
        <v>186</v>
      </c>
      <c r="AO4" s="17">
        <v>0.2828</v>
      </c>
      <c r="AP4" s="17">
        <v>3.0800000000000001E-2</v>
      </c>
      <c r="AQ4" s="17" t="s">
        <v>187</v>
      </c>
      <c r="AR4" s="17">
        <v>1.68</v>
      </c>
      <c r="AS4" s="17">
        <v>0.1038</v>
      </c>
      <c r="AT4" s="17" t="s">
        <v>188</v>
      </c>
      <c r="AU4" s="16" t="s">
        <v>18</v>
      </c>
      <c r="AV4" s="8" t="s">
        <v>9</v>
      </c>
    </row>
    <row r="5" spans="1:48">
      <c r="A5" s="16" t="s">
        <v>150</v>
      </c>
      <c r="B5" s="17" t="s">
        <v>189</v>
      </c>
      <c r="C5" s="16" t="s">
        <v>190</v>
      </c>
      <c r="D5" s="16">
        <v>2021</v>
      </c>
      <c r="E5" s="16" t="s">
        <v>191</v>
      </c>
      <c r="F5" s="19" t="s">
        <v>154</v>
      </c>
      <c r="G5" s="16" t="s">
        <v>155</v>
      </c>
      <c r="H5" s="16" t="s">
        <v>156</v>
      </c>
      <c r="I5" s="16" t="s">
        <v>157</v>
      </c>
      <c r="J5" s="16" t="s">
        <v>158</v>
      </c>
      <c r="K5" s="16" t="s">
        <v>159</v>
      </c>
      <c r="L5" s="16" t="s">
        <v>160</v>
      </c>
      <c r="M5" s="16" t="s">
        <v>161</v>
      </c>
      <c r="N5" s="16" t="s">
        <v>192</v>
      </c>
      <c r="O5" s="16" t="s">
        <v>163</v>
      </c>
      <c r="P5" s="16" t="s">
        <v>18</v>
      </c>
      <c r="Q5" s="16" t="s">
        <v>164</v>
      </c>
      <c r="R5" s="16" t="s">
        <v>193</v>
      </c>
      <c r="S5" s="16" t="s">
        <v>194</v>
      </c>
      <c r="T5" s="16" t="s">
        <v>195</v>
      </c>
      <c r="U5" s="16" t="s">
        <v>196</v>
      </c>
      <c r="V5" s="16" t="s">
        <v>196</v>
      </c>
      <c r="W5" s="16" t="s">
        <v>197</v>
      </c>
      <c r="X5" s="16" t="s">
        <v>170</v>
      </c>
      <c r="Y5" s="16">
        <v>107</v>
      </c>
      <c r="Z5" s="16">
        <v>110</v>
      </c>
      <c r="AA5" s="16">
        <v>75</v>
      </c>
      <c r="AB5" s="16">
        <v>76</v>
      </c>
      <c r="AC5" s="16">
        <v>368</v>
      </c>
      <c r="AD5" s="16"/>
      <c r="AE5" s="16"/>
      <c r="AF5" s="16"/>
      <c r="AG5" s="16"/>
      <c r="AH5" s="16"/>
      <c r="AI5" s="16"/>
      <c r="AJ5" s="16"/>
      <c r="AK5" s="16"/>
      <c r="AL5" s="16" t="s">
        <v>171</v>
      </c>
      <c r="AM5" s="16" t="s">
        <v>172</v>
      </c>
      <c r="AN5" s="16" t="s">
        <v>198</v>
      </c>
      <c r="AO5" s="16">
        <v>-7.9000000000000008E-3</v>
      </c>
      <c r="AP5" s="16">
        <v>1.3599999999999999E-2</v>
      </c>
      <c r="AQ5" s="16" t="s">
        <v>199</v>
      </c>
      <c r="AR5" s="16">
        <v>0.98573619999999995</v>
      </c>
      <c r="AS5" s="16">
        <v>4.4927929999999998E-2</v>
      </c>
      <c r="AT5" s="17" t="s">
        <v>200</v>
      </c>
      <c r="AU5" s="16" t="s">
        <v>18</v>
      </c>
      <c r="AV5" s="8" t="s">
        <v>9</v>
      </c>
    </row>
    <row r="6" spans="1:48">
      <c r="A6" s="16" t="s">
        <v>150</v>
      </c>
      <c r="B6" s="17" t="s">
        <v>201</v>
      </c>
      <c r="C6" s="18" t="s">
        <v>202</v>
      </c>
      <c r="D6" s="18">
        <v>2011</v>
      </c>
      <c r="E6" s="18" t="s">
        <v>203</v>
      </c>
      <c r="F6" s="19" t="s">
        <v>204</v>
      </c>
      <c r="G6" s="16" t="s">
        <v>155</v>
      </c>
      <c r="H6" s="16" t="s">
        <v>156</v>
      </c>
      <c r="I6" s="16" t="s">
        <v>205</v>
      </c>
      <c r="J6" s="16" t="s">
        <v>158</v>
      </c>
      <c r="K6" s="16" t="s">
        <v>206</v>
      </c>
      <c r="L6" s="16" t="s">
        <v>207</v>
      </c>
      <c r="M6" s="16" t="s">
        <v>208</v>
      </c>
      <c r="N6" s="16" t="s">
        <v>209</v>
      </c>
      <c r="O6" s="16" t="s">
        <v>210</v>
      </c>
      <c r="P6" s="16" t="s">
        <v>9</v>
      </c>
      <c r="Q6" s="16" t="s">
        <v>164</v>
      </c>
      <c r="R6" s="16" t="s">
        <v>211</v>
      </c>
      <c r="S6" s="16" t="s">
        <v>212</v>
      </c>
      <c r="T6" s="16" t="s">
        <v>213</v>
      </c>
      <c r="U6" s="16">
        <v>0.27</v>
      </c>
      <c r="V6" s="16" t="s">
        <v>214</v>
      </c>
      <c r="W6" s="16" t="s">
        <v>215</v>
      </c>
      <c r="X6" s="16" t="s">
        <v>179</v>
      </c>
      <c r="Y6" s="16" t="s">
        <v>196</v>
      </c>
      <c r="Z6" s="16" t="s">
        <v>196</v>
      </c>
      <c r="AA6" s="16" t="s">
        <v>196</v>
      </c>
      <c r="AB6" s="16" t="s">
        <v>196</v>
      </c>
      <c r="AC6" s="16">
        <v>23</v>
      </c>
      <c r="AD6" s="16">
        <v>0.11</v>
      </c>
      <c r="AE6" s="16">
        <v>0.1308</v>
      </c>
      <c r="AF6" s="16">
        <v>0.03</v>
      </c>
      <c r="AG6" s="16">
        <v>19</v>
      </c>
      <c r="AH6" s="16">
        <v>0.27</v>
      </c>
      <c r="AI6" s="16">
        <v>0.23980000000000001</v>
      </c>
      <c r="AJ6" s="16">
        <v>0.05</v>
      </c>
      <c r="AK6" s="16">
        <v>23</v>
      </c>
      <c r="AL6" s="16" t="s">
        <v>171</v>
      </c>
      <c r="AM6" s="16" t="s">
        <v>216</v>
      </c>
      <c r="AN6" s="16" t="s">
        <v>217</v>
      </c>
      <c r="AO6" s="16">
        <v>0.79169999999999996</v>
      </c>
      <c r="AP6" s="16">
        <v>0.10390000000000001</v>
      </c>
      <c r="AQ6" s="16" t="s">
        <v>218</v>
      </c>
      <c r="AR6" s="17">
        <v>4.2038000000000002</v>
      </c>
      <c r="AS6" s="17">
        <v>0.34179999999999999</v>
      </c>
      <c r="AT6" s="17" t="s">
        <v>219</v>
      </c>
      <c r="AU6" s="16" t="s">
        <v>18</v>
      </c>
      <c r="AV6" s="8" t="s">
        <v>9</v>
      </c>
    </row>
    <row r="7" spans="1:48">
      <c r="A7" s="20" t="s">
        <v>150</v>
      </c>
      <c r="B7" s="17" t="s">
        <v>220</v>
      </c>
      <c r="C7" s="21" t="s">
        <v>202</v>
      </c>
      <c r="D7" s="22">
        <v>2011</v>
      </c>
      <c r="E7" s="21" t="s">
        <v>203</v>
      </c>
      <c r="F7" s="19" t="s">
        <v>204</v>
      </c>
      <c r="G7" s="23" t="s">
        <v>155</v>
      </c>
      <c r="H7" s="23" t="s">
        <v>177</v>
      </c>
      <c r="I7" s="23" t="s">
        <v>205</v>
      </c>
      <c r="J7" s="23" t="s">
        <v>158</v>
      </c>
      <c r="K7" s="23" t="s">
        <v>206</v>
      </c>
      <c r="L7" s="23" t="s">
        <v>160</v>
      </c>
      <c r="M7" s="16" t="s">
        <v>208</v>
      </c>
      <c r="N7" s="24" t="s">
        <v>221</v>
      </c>
      <c r="O7" s="23" t="s">
        <v>210</v>
      </c>
      <c r="P7" s="23" t="s">
        <v>9</v>
      </c>
      <c r="Q7" s="16" t="s">
        <v>164</v>
      </c>
      <c r="R7" s="24" t="s">
        <v>211</v>
      </c>
      <c r="S7" s="24" t="s">
        <v>212</v>
      </c>
      <c r="T7" s="24" t="s">
        <v>213</v>
      </c>
      <c r="U7" s="24">
        <v>0.18</v>
      </c>
      <c r="V7" s="24" t="s">
        <v>222</v>
      </c>
      <c r="W7" s="16" t="s">
        <v>215</v>
      </c>
      <c r="X7" s="16" t="s">
        <v>170</v>
      </c>
      <c r="Y7" s="16" t="s">
        <v>196</v>
      </c>
      <c r="Z7" s="16" t="s">
        <v>196</v>
      </c>
      <c r="AA7" s="16" t="s">
        <v>196</v>
      </c>
      <c r="AB7" s="16" t="s">
        <v>196</v>
      </c>
      <c r="AC7" s="24">
        <v>20</v>
      </c>
      <c r="AD7" s="16">
        <v>0.11</v>
      </c>
      <c r="AE7" s="16">
        <v>0.1308</v>
      </c>
      <c r="AF7" s="16">
        <v>0.03</v>
      </c>
      <c r="AG7" s="16">
        <v>19</v>
      </c>
      <c r="AH7" s="16">
        <v>0.18</v>
      </c>
      <c r="AI7" s="16">
        <v>0.1789</v>
      </c>
      <c r="AJ7" s="16">
        <v>0.04</v>
      </c>
      <c r="AK7" s="16">
        <v>20</v>
      </c>
      <c r="AL7" s="16" t="s">
        <v>171</v>
      </c>
      <c r="AM7" s="16" t="s">
        <v>216</v>
      </c>
      <c r="AN7" s="16" t="s">
        <v>217</v>
      </c>
      <c r="AO7" s="25">
        <v>0.43590000000000001</v>
      </c>
      <c r="AP7" s="25">
        <v>0.1052</v>
      </c>
      <c r="AQ7" s="25" t="s">
        <v>223</v>
      </c>
      <c r="AR7" s="24">
        <v>2.2048000000000001</v>
      </c>
      <c r="AS7" s="26">
        <v>0.34610000000000002</v>
      </c>
      <c r="AT7" s="17" t="s">
        <v>224</v>
      </c>
      <c r="AU7" s="16" t="s">
        <v>18</v>
      </c>
      <c r="AV7" s="8" t="s">
        <v>9</v>
      </c>
    </row>
    <row r="8" spans="1:48">
      <c r="A8" s="16" t="s">
        <v>150</v>
      </c>
      <c r="B8" s="17" t="s">
        <v>225</v>
      </c>
      <c r="C8" s="16" t="s">
        <v>226</v>
      </c>
      <c r="D8" s="16">
        <v>2023</v>
      </c>
      <c r="E8" s="16" t="s">
        <v>227</v>
      </c>
      <c r="F8" s="19" t="s">
        <v>228</v>
      </c>
      <c r="G8" s="23" t="s">
        <v>155</v>
      </c>
      <c r="H8" s="16" t="s">
        <v>156</v>
      </c>
      <c r="I8" s="16" t="s">
        <v>205</v>
      </c>
      <c r="J8" s="16" t="s">
        <v>158</v>
      </c>
      <c r="K8" s="16" t="s">
        <v>159</v>
      </c>
      <c r="L8" s="16" t="s">
        <v>229</v>
      </c>
      <c r="M8" s="16" t="s">
        <v>230</v>
      </c>
      <c r="N8" s="16" t="s">
        <v>231</v>
      </c>
      <c r="O8" s="16" t="s">
        <v>163</v>
      </c>
      <c r="P8" s="16" t="s">
        <v>18</v>
      </c>
      <c r="Q8" s="16" t="s">
        <v>164</v>
      </c>
      <c r="R8" s="16" t="s">
        <v>211</v>
      </c>
      <c r="S8" s="16" t="s">
        <v>232</v>
      </c>
      <c r="T8" s="16" t="s">
        <v>233</v>
      </c>
      <c r="U8" s="16">
        <v>0.75</v>
      </c>
      <c r="V8" s="16" t="s">
        <v>234</v>
      </c>
      <c r="W8" s="16" t="s">
        <v>235</v>
      </c>
      <c r="X8" s="16" t="s">
        <v>170</v>
      </c>
      <c r="Y8" s="16" t="s">
        <v>196</v>
      </c>
      <c r="Z8" s="16" t="s">
        <v>196</v>
      </c>
      <c r="AA8" s="16" t="s">
        <v>196</v>
      </c>
      <c r="AB8" s="16" t="s">
        <v>196</v>
      </c>
      <c r="AC8" s="16">
        <v>49</v>
      </c>
      <c r="AD8" s="16">
        <v>0.8</v>
      </c>
      <c r="AE8" s="16"/>
      <c r="AF8" s="16">
        <v>0.12</v>
      </c>
      <c r="AG8" s="16">
        <v>24</v>
      </c>
      <c r="AH8" s="16">
        <v>0.75</v>
      </c>
      <c r="AI8" s="16"/>
      <c r="AJ8" s="16">
        <v>0.15</v>
      </c>
      <c r="AK8" s="16">
        <v>25</v>
      </c>
      <c r="AL8" s="16" t="s">
        <v>236</v>
      </c>
      <c r="AM8" s="16" t="s">
        <v>216</v>
      </c>
      <c r="AN8" s="16" t="s">
        <v>237</v>
      </c>
      <c r="AO8" s="17">
        <v>-7.2800000000000004E-2</v>
      </c>
      <c r="AP8" s="17">
        <v>8.1699999999999995E-2</v>
      </c>
      <c r="AQ8" s="17" t="s">
        <v>238</v>
      </c>
      <c r="AR8" s="17">
        <v>0.87629999999999997</v>
      </c>
      <c r="AS8" s="17">
        <v>0.26879999999999998</v>
      </c>
      <c r="AT8" s="17" t="s">
        <v>239</v>
      </c>
      <c r="AU8" s="16" t="s">
        <v>18</v>
      </c>
      <c r="AV8" s="8" t="s">
        <v>9</v>
      </c>
    </row>
    <row r="9" spans="1:48">
      <c r="A9" s="16" t="s">
        <v>150</v>
      </c>
      <c r="B9" s="17" t="s">
        <v>240</v>
      </c>
      <c r="C9" s="16" t="s">
        <v>226</v>
      </c>
      <c r="D9" s="16">
        <v>2023</v>
      </c>
      <c r="E9" s="16" t="s">
        <v>227</v>
      </c>
      <c r="F9" s="19" t="s">
        <v>228</v>
      </c>
      <c r="G9" s="23" t="s">
        <v>155</v>
      </c>
      <c r="H9" s="16" t="s">
        <v>177</v>
      </c>
      <c r="I9" s="16" t="s">
        <v>205</v>
      </c>
      <c r="J9" s="16" t="s">
        <v>158</v>
      </c>
      <c r="K9" s="16" t="s">
        <v>159</v>
      </c>
      <c r="L9" s="16" t="s">
        <v>229</v>
      </c>
      <c r="M9" s="16" t="s">
        <v>230</v>
      </c>
      <c r="N9" s="16" t="s">
        <v>231</v>
      </c>
      <c r="O9" s="16" t="s">
        <v>163</v>
      </c>
      <c r="P9" s="16" t="s">
        <v>18</v>
      </c>
      <c r="Q9" s="16" t="s">
        <v>164</v>
      </c>
      <c r="R9" s="16" t="s">
        <v>211</v>
      </c>
      <c r="S9" s="16" t="s">
        <v>232</v>
      </c>
      <c r="T9" s="16" t="s">
        <v>241</v>
      </c>
      <c r="U9" s="16">
        <v>2.5499999999999998</v>
      </c>
      <c r="V9" s="16" t="s">
        <v>242</v>
      </c>
      <c r="W9" s="16" t="s">
        <v>235</v>
      </c>
      <c r="X9" s="16" t="s">
        <v>170</v>
      </c>
      <c r="Y9" s="16" t="s">
        <v>196</v>
      </c>
      <c r="Z9" s="16" t="s">
        <v>196</v>
      </c>
      <c r="AA9" s="16" t="s">
        <v>196</v>
      </c>
      <c r="AB9" s="16" t="s">
        <v>196</v>
      </c>
      <c r="AC9" s="16">
        <v>50</v>
      </c>
      <c r="AD9" s="16">
        <v>2.25</v>
      </c>
      <c r="AE9" s="16"/>
      <c r="AF9" s="16">
        <v>0.15</v>
      </c>
      <c r="AG9" s="16">
        <v>25</v>
      </c>
      <c r="AH9" s="16">
        <v>2.5499999999999998</v>
      </c>
      <c r="AI9" s="16"/>
      <c r="AJ9" s="16">
        <v>0.2</v>
      </c>
      <c r="AK9" s="16">
        <v>25</v>
      </c>
      <c r="AL9" s="16" t="s">
        <v>236</v>
      </c>
      <c r="AM9" s="16" t="s">
        <v>216</v>
      </c>
      <c r="AN9" s="16" t="s">
        <v>237</v>
      </c>
      <c r="AO9" s="17">
        <v>0.33410000000000001</v>
      </c>
      <c r="AP9" s="17">
        <v>8.1199999999999994E-2</v>
      </c>
      <c r="AQ9" s="17" t="s">
        <v>243</v>
      </c>
      <c r="AR9" s="17">
        <v>1.8331</v>
      </c>
      <c r="AS9" s="17">
        <v>0.2671</v>
      </c>
      <c r="AT9" s="17" t="s">
        <v>244</v>
      </c>
      <c r="AU9" s="16" t="s">
        <v>18</v>
      </c>
      <c r="AV9" s="8" t="s">
        <v>9</v>
      </c>
    </row>
    <row r="10" spans="1:48">
      <c r="A10" s="16" t="s">
        <v>150</v>
      </c>
      <c r="B10" s="17" t="s">
        <v>245</v>
      </c>
      <c r="C10" s="18" t="s">
        <v>246</v>
      </c>
      <c r="D10" s="18">
        <v>2012</v>
      </c>
      <c r="E10" s="18" t="s">
        <v>246</v>
      </c>
      <c r="F10" s="19" t="s">
        <v>154</v>
      </c>
      <c r="G10" s="16" t="s">
        <v>155</v>
      </c>
      <c r="H10" s="16" t="s">
        <v>156</v>
      </c>
      <c r="I10" s="16" t="s">
        <v>157</v>
      </c>
      <c r="J10" s="16" t="s">
        <v>158</v>
      </c>
      <c r="K10" s="16" t="s">
        <v>159</v>
      </c>
      <c r="L10" s="16" t="s">
        <v>160</v>
      </c>
      <c r="M10" s="16" t="s">
        <v>161</v>
      </c>
      <c r="N10" s="16" t="s">
        <v>247</v>
      </c>
      <c r="O10" s="16" t="s">
        <v>163</v>
      </c>
      <c r="P10" s="16" t="s">
        <v>18</v>
      </c>
      <c r="Q10" s="16" t="s">
        <v>164</v>
      </c>
      <c r="R10" s="16" t="s">
        <v>248</v>
      </c>
      <c r="S10" s="16" t="s">
        <v>249</v>
      </c>
      <c r="T10" s="16" t="s">
        <v>250</v>
      </c>
      <c r="U10" s="16">
        <v>0.56521699999999997</v>
      </c>
      <c r="V10" s="16" t="s">
        <v>251</v>
      </c>
      <c r="W10" s="16" t="s">
        <v>252</v>
      </c>
      <c r="X10" s="16" t="s">
        <v>170</v>
      </c>
      <c r="Y10" s="16">
        <v>52</v>
      </c>
      <c r="Z10" s="16">
        <v>40</v>
      </c>
      <c r="AA10" s="16">
        <v>46</v>
      </c>
      <c r="AB10" s="16">
        <v>46</v>
      </c>
      <c r="AC10" s="16">
        <v>92</v>
      </c>
      <c r="AD10" s="16"/>
      <c r="AE10" s="16"/>
      <c r="AF10" s="16"/>
      <c r="AG10" s="16"/>
      <c r="AH10" s="16"/>
      <c r="AI10" s="16"/>
      <c r="AJ10" s="16"/>
      <c r="AK10" s="16"/>
      <c r="AL10" s="16" t="s">
        <v>253</v>
      </c>
      <c r="AM10" s="16" t="s">
        <v>172</v>
      </c>
      <c r="AN10" s="16" t="s">
        <v>254</v>
      </c>
      <c r="AO10" s="17">
        <v>0.14349999999999999</v>
      </c>
      <c r="AP10" s="17">
        <v>2.6200000000000001E-2</v>
      </c>
      <c r="AQ10" s="17" t="s">
        <v>255</v>
      </c>
      <c r="AR10" s="17">
        <v>1.3</v>
      </c>
      <c r="AS10" s="17">
        <v>8.77E-2</v>
      </c>
      <c r="AT10" s="17" t="s">
        <v>256</v>
      </c>
      <c r="AU10" s="16" t="s">
        <v>18</v>
      </c>
      <c r="AV10" s="8" t="s">
        <v>9</v>
      </c>
    </row>
    <row r="11" spans="1:48">
      <c r="A11" s="16" t="s">
        <v>150</v>
      </c>
      <c r="B11" s="17" t="s">
        <v>257</v>
      </c>
      <c r="C11" s="18" t="s">
        <v>258</v>
      </c>
      <c r="D11" s="18">
        <v>2025</v>
      </c>
      <c r="E11" s="18" t="s">
        <v>259</v>
      </c>
      <c r="F11" s="19" t="s">
        <v>260</v>
      </c>
      <c r="G11" s="16" t="s">
        <v>155</v>
      </c>
      <c r="H11" s="16" t="s">
        <v>156</v>
      </c>
      <c r="I11" s="16" t="s">
        <v>157</v>
      </c>
      <c r="J11" s="16" t="s">
        <v>158</v>
      </c>
      <c r="K11" s="16" t="s">
        <v>206</v>
      </c>
      <c r="L11" s="16" t="s">
        <v>207</v>
      </c>
      <c r="M11" s="16" t="s">
        <v>208</v>
      </c>
      <c r="N11" s="16" t="s">
        <v>261</v>
      </c>
      <c r="O11" s="16" t="s">
        <v>163</v>
      </c>
      <c r="P11" s="16" t="s">
        <v>9</v>
      </c>
      <c r="Q11" s="16" t="s">
        <v>164</v>
      </c>
      <c r="R11" s="16" t="s">
        <v>248</v>
      </c>
      <c r="S11" s="16" t="s">
        <v>262</v>
      </c>
      <c r="T11" s="16" t="s">
        <v>263</v>
      </c>
      <c r="U11" s="16" t="s">
        <v>196</v>
      </c>
      <c r="V11" s="16" t="s">
        <v>264</v>
      </c>
      <c r="W11" s="16" t="s">
        <v>265</v>
      </c>
      <c r="X11" s="16" t="s">
        <v>170</v>
      </c>
      <c r="Y11" s="16" t="s">
        <v>196</v>
      </c>
      <c r="Z11" s="16" t="s">
        <v>196</v>
      </c>
      <c r="AA11" s="16" t="s">
        <v>196</v>
      </c>
      <c r="AB11" s="16" t="s">
        <v>196</v>
      </c>
      <c r="AC11" s="16">
        <v>33</v>
      </c>
      <c r="AD11" s="16">
        <v>79.19</v>
      </c>
      <c r="AE11" s="16">
        <v>4.9000000000000004</v>
      </c>
      <c r="AF11" s="16"/>
      <c r="AG11" s="16">
        <v>12</v>
      </c>
      <c r="AH11" s="16">
        <v>80.55</v>
      </c>
      <c r="AI11" s="16">
        <v>3.4</v>
      </c>
      <c r="AJ11" s="16"/>
      <c r="AK11" s="16">
        <v>21</v>
      </c>
      <c r="AL11" s="16" t="s">
        <v>253</v>
      </c>
      <c r="AM11" s="16" t="s">
        <v>216</v>
      </c>
      <c r="AN11" s="16" t="s">
        <v>266</v>
      </c>
      <c r="AO11" s="17">
        <v>0.33189999999999997</v>
      </c>
      <c r="AP11" s="17">
        <v>0.13270000000000001</v>
      </c>
      <c r="AQ11" s="17" t="s">
        <v>267</v>
      </c>
      <c r="AR11" s="17">
        <v>1.8258000000000001</v>
      </c>
      <c r="AS11" s="17">
        <v>0.43659999999999999</v>
      </c>
      <c r="AT11" s="17" t="s">
        <v>268</v>
      </c>
      <c r="AU11" s="16" t="s">
        <v>18</v>
      </c>
      <c r="AV11" s="8" t="s">
        <v>9</v>
      </c>
    </row>
    <row r="12" spans="1:48">
      <c r="A12" s="16" t="s">
        <v>150</v>
      </c>
      <c r="B12" s="17" t="s">
        <v>269</v>
      </c>
      <c r="C12" s="18" t="s">
        <v>270</v>
      </c>
      <c r="D12" s="18">
        <v>2024</v>
      </c>
      <c r="E12" s="18" t="s">
        <v>270</v>
      </c>
      <c r="F12" s="19" t="s">
        <v>271</v>
      </c>
      <c r="G12" s="16" t="s">
        <v>155</v>
      </c>
      <c r="H12" s="16" t="s">
        <v>156</v>
      </c>
      <c r="I12" s="16" t="s">
        <v>157</v>
      </c>
      <c r="J12" s="16" t="s">
        <v>158</v>
      </c>
      <c r="K12" s="16" t="s">
        <v>206</v>
      </c>
      <c r="L12" s="16" t="s">
        <v>207</v>
      </c>
      <c r="M12" s="16" t="s">
        <v>272</v>
      </c>
      <c r="N12" s="16" t="s">
        <v>273</v>
      </c>
      <c r="O12" s="16" t="s">
        <v>163</v>
      </c>
      <c r="P12" s="16" t="s">
        <v>9</v>
      </c>
      <c r="Q12" s="16" t="s">
        <v>164</v>
      </c>
      <c r="R12" s="16" t="s">
        <v>274</v>
      </c>
      <c r="S12" s="16" t="s">
        <v>275</v>
      </c>
      <c r="T12" s="16" t="s">
        <v>276</v>
      </c>
      <c r="U12" s="16" t="s">
        <v>196</v>
      </c>
      <c r="V12" s="16" t="s">
        <v>196</v>
      </c>
      <c r="W12" s="16" t="s">
        <v>277</v>
      </c>
      <c r="X12" s="16" t="s">
        <v>170</v>
      </c>
      <c r="Y12" s="16">
        <v>8</v>
      </c>
      <c r="Z12" s="16">
        <v>16</v>
      </c>
      <c r="AA12" s="16">
        <v>12</v>
      </c>
      <c r="AB12" s="16">
        <v>12</v>
      </c>
      <c r="AC12" s="16">
        <v>48</v>
      </c>
      <c r="AD12" s="16"/>
      <c r="AE12" s="16"/>
      <c r="AF12" s="16"/>
      <c r="AG12" s="16"/>
      <c r="AH12" s="16"/>
      <c r="AI12" s="16"/>
      <c r="AJ12" s="16"/>
      <c r="AK12" s="16"/>
      <c r="AL12" s="16" t="s">
        <v>171</v>
      </c>
      <c r="AM12" s="16" t="s">
        <v>172</v>
      </c>
      <c r="AN12" s="16" t="s">
        <v>278</v>
      </c>
      <c r="AO12" s="17">
        <v>-0.376</v>
      </c>
      <c r="AP12" s="17">
        <v>0.1042</v>
      </c>
      <c r="AQ12" s="17" t="s">
        <v>279</v>
      </c>
      <c r="AR12" s="17">
        <v>0.5</v>
      </c>
      <c r="AS12" s="17">
        <v>0.35420000000000001</v>
      </c>
      <c r="AT12" s="17" t="s">
        <v>280</v>
      </c>
      <c r="AU12" s="16" t="s">
        <v>18</v>
      </c>
      <c r="AV12" s="8" t="s">
        <v>9</v>
      </c>
    </row>
    <row r="13" spans="1:48">
      <c r="A13" s="16" t="s">
        <v>150</v>
      </c>
      <c r="B13" s="17" t="s">
        <v>281</v>
      </c>
      <c r="C13" s="18" t="s">
        <v>270</v>
      </c>
      <c r="D13" s="18">
        <v>2024</v>
      </c>
      <c r="E13" s="18" t="s">
        <v>270</v>
      </c>
      <c r="F13" s="19" t="s">
        <v>271</v>
      </c>
      <c r="G13" s="16" t="s">
        <v>155</v>
      </c>
      <c r="H13" s="16" t="s">
        <v>177</v>
      </c>
      <c r="I13" s="16" t="s">
        <v>157</v>
      </c>
      <c r="J13" s="16" t="s">
        <v>158</v>
      </c>
      <c r="K13" s="16" t="s">
        <v>206</v>
      </c>
      <c r="L13" s="16" t="s">
        <v>282</v>
      </c>
      <c r="M13" s="16" t="s">
        <v>272</v>
      </c>
      <c r="N13" s="16" t="s">
        <v>283</v>
      </c>
      <c r="O13" s="16" t="s">
        <v>163</v>
      </c>
      <c r="P13" s="16" t="s">
        <v>9</v>
      </c>
      <c r="Q13" s="16" t="s">
        <v>164</v>
      </c>
      <c r="R13" s="16" t="s">
        <v>274</v>
      </c>
      <c r="S13" s="16" t="s">
        <v>275</v>
      </c>
      <c r="T13" s="16" t="s">
        <v>276</v>
      </c>
      <c r="U13" s="16" t="s">
        <v>196</v>
      </c>
      <c r="V13" s="16" t="s">
        <v>196</v>
      </c>
      <c r="W13" s="16" t="s">
        <v>277</v>
      </c>
      <c r="X13" s="16" t="s">
        <v>170</v>
      </c>
      <c r="Y13" s="16">
        <v>13</v>
      </c>
      <c r="Z13" s="16">
        <v>13</v>
      </c>
      <c r="AA13" s="16">
        <v>13</v>
      </c>
      <c r="AB13" s="16">
        <v>13</v>
      </c>
      <c r="AC13" s="16">
        <v>52</v>
      </c>
      <c r="AD13" s="16"/>
      <c r="AE13" s="16"/>
      <c r="AF13" s="16"/>
      <c r="AG13" s="16"/>
      <c r="AH13" s="16"/>
      <c r="AI13" s="16"/>
      <c r="AJ13" s="16"/>
      <c r="AK13" s="16"/>
      <c r="AL13" s="16" t="s">
        <v>171</v>
      </c>
      <c r="AM13" s="16" t="s">
        <v>172</v>
      </c>
      <c r="AN13" s="16" t="s">
        <v>278</v>
      </c>
      <c r="AO13" s="17">
        <v>0</v>
      </c>
      <c r="AP13" s="17">
        <v>9.0800000000000006E-2</v>
      </c>
      <c r="AQ13" s="17" t="s">
        <v>284</v>
      </c>
      <c r="AR13" s="17">
        <v>1</v>
      </c>
      <c r="AS13" s="17">
        <v>0.30769999999999997</v>
      </c>
      <c r="AT13" s="17" t="s">
        <v>285</v>
      </c>
      <c r="AU13" s="16" t="s">
        <v>18</v>
      </c>
      <c r="AV13" s="8" t="s">
        <v>9</v>
      </c>
    </row>
    <row r="14" spans="1:48">
      <c r="A14" s="16" t="s">
        <v>150</v>
      </c>
      <c r="B14" s="17" t="s">
        <v>286</v>
      </c>
      <c r="C14" s="18" t="s">
        <v>270</v>
      </c>
      <c r="D14" s="18">
        <v>2024</v>
      </c>
      <c r="E14" s="18" t="s">
        <v>270</v>
      </c>
      <c r="F14" s="19" t="s">
        <v>271</v>
      </c>
      <c r="G14" s="16" t="s">
        <v>155</v>
      </c>
      <c r="H14" s="16" t="s">
        <v>184</v>
      </c>
      <c r="I14" s="16" t="s">
        <v>157</v>
      </c>
      <c r="J14" s="16" t="s">
        <v>158</v>
      </c>
      <c r="K14" s="16" t="s">
        <v>206</v>
      </c>
      <c r="L14" s="16" t="s">
        <v>160</v>
      </c>
      <c r="M14" s="16" t="s">
        <v>272</v>
      </c>
      <c r="N14" s="16" t="s">
        <v>287</v>
      </c>
      <c r="O14" s="16" t="s">
        <v>163</v>
      </c>
      <c r="P14" s="16" t="s">
        <v>9</v>
      </c>
      <c r="Q14" s="16" t="s">
        <v>164</v>
      </c>
      <c r="R14" s="16" t="s">
        <v>274</v>
      </c>
      <c r="S14" s="16" t="s">
        <v>288</v>
      </c>
      <c r="T14" s="16" t="s">
        <v>276</v>
      </c>
      <c r="U14" s="16" t="s">
        <v>196</v>
      </c>
      <c r="V14" s="16" t="s">
        <v>196</v>
      </c>
      <c r="W14" s="16" t="s">
        <v>277</v>
      </c>
      <c r="X14" s="16" t="s">
        <v>179</v>
      </c>
      <c r="Y14" s="16">
        <v>18</v>
      </c>
      <c r="Z14" s="16">
        <v>6</v>
      </c>
      <c r="AA14" s="16">
        <v>12</v>
      </c>
      <c r="AB14" s="16">
        <v>12</v>
      </c>
      <c r="AC14" s="16">
        <v>48</v>
      </c>
      <c r="AD14" s="16"/>
      <c r="AE14" s="16"/>
      <c r="AF14" s="16"/>
      <c r="AG14" s="16"/>
      <c r="AH14" s="16"/>
      <c r="AI14" s="16"/>
      <c r="AJ14" s="16"/>
      <c r="AK14" s="16"/>
      <c r="AL14" s="16" t="s">
        <v>171</v>
      </c>
      <c r="AM14" s="16" t="s">
        <v>172</v>
      </c>
      <c r="AN14" s="16" t="s">
        <v>278</v>
      </c>
      <c r="AO14" s="17">
        <v>0.59599999999999997</v>
      </c>
      <c r="AP14" s="17">
        <v>0.1144</v>
      </c>
      <c r="AQ14" s="17" t="s">
        <v>289</v>
      </c>
      <c r="AR14" s="17">
        <v>3</v>
      </c>
      <c r="AS14" s="17">
        <v>0.38890000000000002</v>
      </c>
      <c r="AT14" s="17" t="s">
        <v>290</v>
      </c>
      <c r="AU14" s="16" t="s">
        <v>18</v>
      </c>
      <c r="AV14" s="8" t="s">
        <v>9</v>
      </c>
    </row>
    <row r="15" spans="1:48">
      <c r="A15" s="16" t="s">
        <v>150</v>
      </c>
      <c r="B15" s="17" t="s">
        <v>291</v>
      </c>
      <c r="C15" s="27" t="s">
        <v>292</v>
      </c>
      <c r="D15" s="18">
        <v>2025</v>
      </c>
      <c r="E15" s="18" t="s">
        <v>293</v>
      </c>
      <c r="F15" s="19" t="s">
        <v>271</v>
      </c>
      <c r="G15" s="17"/>
      <c r="H15" s="17"/>
      <c r="I15" s="17"/>
      <c r="J15" s="17"/>
      <c r="K15" s="17"/>
      <c r="L15" s="17"/>
      <c r="M15" s="17"/>
      <c r="N15" s="17"/>
      <c r="O15" s="17"/>
      <c r="P15" s="17"/>
      <c r="Q15" s="17"/>
      <c r="R15" s="17"/>
      <c r="S15" s="17"/>
      <c r="T15" s="17"/>
      <c r="U15" s="17"/>
      <c r="V15" s="17"/>
      <c r="W15" s="17"/>
      <c r="X15" s="17"/>
      <c r="Y15" s="16" t="s">
        <v>196</v>
      </c>
      <c r="Z15" s="16" t="s">
        <v>196</v>
      </c>
      <c r="AA15" s="16" t="s">
        <v>196</v>
      </c>
      <c r="AB15" s="16" t="s">
        <v>196</v>
      </c>
      <c r="AC15" s="16" t="s">
        <v>196</v>
      </c>
      <c r="AD15" s="17"/>
      <c r="AE15" s="17"/>
      <c r="AF15" s="17"/>
      <c r="AG15" s="17"/>
      <c r="AH15" s="17"/>
      <c r="AI15" s="17"/>
      <c r="AJ15" s="17"/>
      <c r="AK15" s="17"/>
      <c r="AL15" s="17"/>
      <c r="AM15" s="16"/>
      <c r="AN15" s="16" t="s">
        <v>294</v>
      </c>
      <c r="AO15" s="17"/>
      <c r="AP15" s="17"/>
      <c r="AQ15" s="17"/>
      <c r="AR15" s="17"/>
      <c r="AS15" s="17"/>
      <c r="AT15" s="17"/>
      <c r="AU15" s="16" t="s">
        <v>18</v>
      </c>
      <c r="AV15" s="8" t="s">
        <v>18</v>
      </c>
    </row>
    <row r="16" spans="1:48">
      <c r="A16" s="16" t="s">
        <v>150</v>
      </c>
      <c r="B16" s="17" t="s">
        <v>295</v>
      </c>
      <c r="C16" s="28" t="s">
        <v>296</v>
      </c>
      <c r="D16" s="18">
        <v>2016</v>
      </c>
      <c r="E16" s="18" t="s">
        <v>296</v>
      </c>
      <c r="F16" s="19" t="s">
        <v>297</v>
      </c>
      <c r="G16" s="16" t="s">
        <v>155</v>
      </c>
      <c r="H16" s="16" t="s">
        <v>156</v>
      </c>
      <c r="I16" s="16" t="s">
        <v>205</v>
      </c>
      <c r="J16" s="16" t="s">
        <v>158</v>
      </c>
      <c r="K16" s="16" t="s">
        <v>206</v>
      </c>
      <c r="L16" s="16" t="s">
        <v>207</v>
      </c>
      <c r="M16" s="16" t="s">
        <v>208</v>
      </c>
      <c r="N16" s="16" t="s">
        <v>298</v>
      </c>
      <c r="O16" s="16" t="s">
        <v>163</v>
      </c>
      <c r="P16" s="16" t="s">
        <v>18</v>
      </c>
      <c r="Q16" s="16" t="s">
        <v>164</v>
      </c>
      <c r="R16" s="16" t="s">
        <v>274</v>
      </c>
      <c r="S16" s="16" t="s">
        <v>299</v>
      </c>
      <c r="T16" s="16" t="s">
        <v>300</v>
      </c>
      <c r="U16" s="16">
        <v>2.5325000000000002</v>
      </c>
      <c r="V16" s="16" t="s">
        <v>301</v>
      </c>
      <c r="W16" s="16" t="s">
        <v>302</v>
      </c>
      <c r="X16" s="16" t="s">
        <v>170</v>
      </c>
      <c r="Y16" s="16" t="s">
        <v>196</v>
      </c>
      <c r="Z16" s="16" t="s">
        <v>196</v>
      </c>
      <c r="AA16" s="16" t="s">
        <v>196</v>
      </c>
      <c r="AB16" s="16" t="s">
        <v>196</v>
      </c>
      <c r="AC16" s="16">
        <v>63</v>
      </c>
      <c r="AD16" s="16"/>
      <c r="AE16" s="16"/>
      <c r="AF16" s="16"/>
      <c r="AG16" s="16"/>
      <c r="AH16" s="16"/>
      <c r="AI16" s="16"/>
      <c r="AJ16" s="16"/>
      <c r="AK16" s="16"/>
      <c r="AL16" s="16" t="s">
        <v>236</v>
      </c>
      <c r="AM16" s="16" t="s">
        <v>303</v>
      </c>
      <c r="AN16" s="16" t="s">
        <v>304</v>
      </c>
      <c r="AO16" s="17"/>
      <c r="AP16" s="17"/>
      <c r="AQ16" s="17"/>
      <c r="AR16" s="17"/>
      <c r="AS16" s="17"/>
      <c r="AT16" s="17"/>
      <c r="AU16" s="16" t="s">
        <v>18</v>
      </c>
      <c r="AV16" s="8" t="s">
        <v>9</v>
      </c>
    </row>
    <row r="17" spans="1:48">
      <c r="A17" s="16" t="s">
        <v>150</v>
      </c>
      <c r="B17" s="17" t="s">
        <v>305</v>
      </c>
      <c r="C17" s="18" t="s">
        <v>306</v>
      </c>
      <c r="D17" s="18">
        <v>2019</v>
      </c>
      <c r="E17" s="18" t="s">
        <v>307</v>
      </c>
      <c r="F17" s="19" t="s">
        <v>308</v>
      </c>
      <c r="G17" s="16" t="s">
        <v>155</v>
      </c>
      <c r="H17" s="16" t="s">
        <v>156</v>
      </c>
      <c r="I17" s="16" t="s">
        <v>157</v>
      </c>
      <c r="J17" s="16" t="s">
        <v>158</v>
      </c>
      <c r="K17" s="16" t="s">
        <v>206</v>
      </c>
      <c r="L17" s="16" t="s">
        <v>309</v>
      </c>
      <c r="M17" s="16" t="s">
        <v>208</v>
      </c>
      <c r="N17" s="16" t="s">
        <v>310</v>
      </c>
      <c r="O17" s="16" t="s">
        <v>163</v>
      </c>
      <c r="P17" s="16" t="s">
        <v>18</v>
      </c>
      <c r="Q17" s="16" t="s">
        <v>164</v>
      </c>
      <c r="R17" s="16" t="s">
        <v>211</v>
      </c>
      <c r="S17" s="16" t="s">
        <v>311</v>
      </c>
      <c r="T17" s="16" t="s">
        <v>312</v>
      </c>
      <c r="U17" s="16">
        <v>0.83</v>
      </c>
      <c r="V17" s="16" t="s">
        <v>313</v>
      </c>
      <c r="W17" s="16" t="s">
        <v>314</v>
      </c>
      <c r="X17" s="16" t="s">
        <v>179</v>
      </c>
      <c r="Y17" s="16">
        <v>8</v>
      </c>
      <c r="Z17" s="16">
        <v>2</v>
      </c>
      <c r="AA17" s="16">
        <v>5</v>
      </c>
      <c r="AB17" s="16">
        <v>5</v>
      </c>
      <c r="AC17" s="16">
        <v>10</v>
      </c>
      <c r="AD17" s="16"/>
      <c r="AE17" s="16"/>
      <c r="AF17" s="16"/>
      <c r="AG17" s="16"/>
      <c r="AH17" s="16"/>
      <c r="AI17" s="16"/>
      <c r="AJ17" s="16"/>
      <c r="AK17" s="16"/>
      <c r="AL17" s="16" t="s">
        <v>171</v>
      </c>
      <c r="AM17" s="16" t="s">
        <v>172</v>
      </c>
      <c r="AN17" s="16" t="s">
        <v>315</v>
      </c>
      <c r="AO17" s="17">
        <v>0.69879999999999998</v>
      </c>
      <c r="AP17" s="17">
        <v>0.26040000000000002</v>
      </c>
      <c r="AQ17" s="17" t="s">
        <v>316</v>
      </c>
      <c r="AR17" s="17">
        <v>4</v>
      </c>
      <c r="AS17" s="17">
        <v>1.0249999999999999</v>
      </c>
      <c r="AT17" s="17" t="s">
        <v>317</v>
      </c>
      <c r="AU17" s="16" t="s">
        <v>18</v>
      </c>
      <c r="AV17" s="8" t="s">
        <v>9</v>
      </c>
    </row>
    <row r="18" spans="1:48">
      <c r="A18" s="16" t="s">
        <v>150</v>
      </c>
      <c r="B18" s="17" t="s">
        <v>318</v>
      </c>
      <c r="C18" s="18" t="s">
        <v>319</v>
      </c>
      <c r="D18" s="18">
        <v>2022</v>
      </c>
      <c r="E18" s="18" t="s">
        <v>320</v>
      </c>
      <c r="F18" s="19" t="s">
        <v>308</v>
      </c>
      <c r="G18" s="16" t="s">
        <v>155</v>
      </c>
      <c r="H18" s="16" t="s">
        <v>156</v>
      </c>
      <c r="I18" s="16" t="s">
        <v>157</v>
      </c>
      <c r="J18" s="16" t="s">
        <v>158</v>
      </c>
      <c r="K18" s="16" t="s">
        <v>206</v>
      </c>
      <c r="L18" s="16" t="s">
        <v>309</v>
      </c>
      <c r="M18" s="16" t="s">
        <v>208</v>
      </c>
      <c r="N18" s="16" t="s">
        <v>321</v>
      </c>
      <c r="O18" s="16" t="s">
        <v>163</v>
      </c>
      <c r="P18" s="16" t="s">
        <v>18</v>
      </c>
      <c r="Q18" s="16" t="s">
        <v>164</v>
      </c>
      <c r="R18" s="16" t="s">
        <v>211</v>
      </c>
      <c r="S18" s="16" t="s">
        <v>322</v>
      </c>
      <c r="T18" s="16" t="s">
        <v>312</v>
      </c>
      <c r="U18" s="16">
        <v>0.72</v>
      </c>
      <c r="V18" s="16" t="s">
        <v>323</v>
      </c>
      <c r="W18" s="16" t="s">
        <v>324</v>
      </c>
      <c r="X18" s="16" t="s">
        <v>179</v>
      </c>
      <c r="Y18" s="16">
        <v>6</v>
      </c>
      <c r="Z18" s="16">
        <v>2</v>
      </c>
      <c r="AA18" s="16">
        <v>4</v>
      </c>
      <c r="AB18" s="16">
        <v>4</v>
      </c>
      <c r="AC18" s="16">
        <v>16</v>
      </c>
      <c r="AD18" s="16"/>
      <c r="AE18" s="16"/>
      <c r="AF18" s="16"/>
      <c r="AG18" s="16"/>
      <c r="AH18" s="16"/>
      <c r="AI18" s="16"/>
      <c r="AJ18" s="16"/>
      <c r="AK18" s="16"/>
      <c r="AL18" s="16" t="s">
        <v>171</v>
      </c>
      <c r="AM18" s="16" t="s">
        <v>172</v>
      </c>
      <c r="AN18" s="16" t="s">
        <v>325</v>
      </c>
      <c r="AO18" s="17">
        <v>0.57489999999999997</v>
      </c>
      <c r="AP18" s="17">
        <v>0.31950000000000001</v>
      </c>
      <c r="AQ18" s="17" t="s">
        <v>326</v>
      </c>
      <c r="AR18" s="17">
        <v>3</v>
      </c>
      <c r="AS18" s="17">
        <v>1.1667000000000001</v>
      </c>
      <c r="AT18" s="17" t="s">
        <v>327</v>
      </c>
      <c r="AU18" s="16" t="s">
        <v>18</v>
      </c>
      <c r="AV18" s="8" t="s">
        <v>9</v>
      </c>
    </row>
    <row r="19" spans="1:48">
      <c r="A19" s="16" t="s">
        <v>150</v>
      </c>
      <c r="B19" s="17" t="s">
        <v>328</v>
      </c>
      <c r="C19" s="18" t="s">
        <v>329</v>
      </c>
      <c r="D19" s="18">
        <v>2015</v>
      </c>
      <c r="E19" s="18" t="s">
        <v>330</v>
      </c>
      <c r="F19" s="19" t="s">
        <v>331</v>
      </c>
      <c r="G19" s="16" t="s">
        <v>155</v>
      </c>
      <c r="H19" s="16" t="s">
        <v>156</v>
      </c>
      <c r="I19" s="16" t="s">
        <v>205</v>
      </c>
      <c r="J19" s="16" t="s">
        <v>158</v>
      </c>
      <c r="K19" s="16" t="s">
        <v>159</v>
      </c>
      <c r="L19" s="16" t="s">
        <v>207</v>
      </c>
      <c r="M19" s="16" t="s">
        <v>208</v>
      </c>
      <c r="N19" s="16" t="s">
        <v>332</v>
      </c>
      <c r="O19" s="16" t="s">
        <v>163</v>
      </c>
      <c r="P19" s="16" t="s">
        <v>18</v>
      </c>
      <c r="Q19" s="16" t="s">
        <v>164</v>
      </c>
      <c r="R19" s="16" t="s">
        <v>274</v>
      </c>
      <c r="S19" s="16" t="s">
        <v>333</v>
      </c>
      <c r="T19" s="16" t="s">
        <v>334</v>
      </c>
      <c r="U19" s="16">
        <v>-2.323</v>
      </c>
      <c r="V19" s="16" t="s">
        <v>335</v>
      </c>
      <c r="W19" s="16" t="s">
        <v>336</v>
      </c>
      <c r="X19" s="16" t="s">
        <v>179</v>
      </c>
      <c r="Y19" s="16" t="s">
        <v>196</v>
      </c>
      <c r="Z19" s="16" t="s">
        <v>196</v>
      </c>
      <c r="AA19" s="16" t="s">
        <v>196</v>
      </c>
      <c r="AB19" s="16" t="s">
        <v>196</v>
      </c>
      <c r="AC19" s="16">
        <v>15</v>
      </c>
      <c r="AD19" s="16"/>
      <c r="AE19" s="16"/>
      <c r="AF19" s="16"/>
      <c r="AG19" s="16"/>
      <c r="AH19" s="16"/>
      <c r="AI19" s="16"/>
      <c r="AJ19" s="16"/>
      <c r="AK19" s="16"/>
      <c r="AL19" s="16" t="s">
        <v>253</v>
      </c>
      <c r="AM19" s="16" t="s">
        <v>303</v>
      </c>
      <c r="AN19" s="17"/>
      <c r="AO19" s="17">
        <v>-0.56710000000000005</v>
      </c>
      <c r="AP19" s="17">
        <v>7.8200000000000006E-2</v>
      </c>
      <c r="AQ19" s="17" t="s">
        <v>337</v>
      </c>
      <c r="AR19" s="17">
        <v>0.35749999999999998</v>
      </c>
      <c r="AS19" s="17">
        <v>0.25729999999999997</v>
      </c>
      <c r="AT19" s="17" t="s">
        <v>338</v>
      </c>
      <c r="AU19" s="16" t="s">
        <v>18</v>
      </c>
      <c r="AV19" s="8" t="s">
        <v>9</v>
      </c>
    </row>
    <row r="20" spans="1:48">
      <c r="A20" s="16" t="s">
        <v>150</v>
      </c>
      <c r="B20" s="17" t="s">
        <v>339</v>
      </c>
      <c r="C20" s="18" t="s">
        <v>340</v>
      </c>
      <c r="D20" s="18">
        <v>2017</v>
      </c>
      <c r="E20" s="18" t="s">
        <v>341</v>
      </c>
      <c r="F20" s="19" t="s">
        <v>331</v>
      </c>
      <c r="G20" s="16" t="s">
        <v>155</v>
      </c>
      <c r="H20" s="16" t="s">
        <v>156</v>
      </c>
      <c r="I20" s="16" t="s">
        <v>205</v>
      </c>
      <c r="J20" s="16" t="s">
        <v>158</v>
      </c>
      <c r="K20" s="16" t="s">
        <v>159</v>
      </c>
      <c r="L20" s="16" t="s">
        <v>207</v>
      </c>
      <c r="M20" s="16" t="s">
        <v>208</v>
      </c>
      <c r="N20" s="16" t="s">
        <v>342</v>
      </c>
      <c r="O20" s="16" t="s">
        <v>163</v>
      </c>
      <c r="P20" s="16" t="s">
        <v>9</v>
      </c>
      <c r="Q20" s="16" t="s">
        <v>164</v>
      </c>
      <c r="R20" s="16" t="s">
        <v>274</v>
      </c>
      <c r="S20" s="16" t="s">
        <v>343</v>
      </c>
      <c r="T20" s="16" t="s">
        <v>334</v>
      </c>
      <c r="U20" s="16">
        <v>-2.1469999999999998</v>
      </c>
      <c r="V20" s="16" t="s">
        <v>344</v>
      </c>
      <c r="W20" s="16" t="s">
        <v>345</v>
      </c>
      <c r="X20" s="16" t="s">
        <v>170</v>
      </c>
      <c r="Y20" s="16" t="s">
        <v>196</v>
      </c>
      <c r="Z20" s="16" t="s">
        <v>196</v>
      </c>
      <c r="AA20" s="16" t="s">
        <v>196</v>
      </c>
      <c r="AB20" s="16" t="s">
        <v>196</v>
      </c>
      <c r="AC20" s="16">
        <v>15</v>
      </c>
      <c r="AD20" s="16"/>
      <c r="AE20" s="16"/>
      <c r="AF20" s="16"/>
      <c r="AG20" s="16"/>
      <c r="AH20" s="16"/>
      <c r="AI20" s="16"/>
      <c r="AJ20" s="16"/>
      <c r="AK20" s="16"/>
      <c r="AL20" s="16" t="s">
        <v>253</v>
      </c>
      <c r="AM20" s="16" t="s">
        <v>303</v>
      </c>
      <c r="AN20" s="17"/>
      <c r="AO20" s="17">
        <v>-0.52410000000000001</v>
      </c>
      <c r="AP20" s="17">
        <v>7.6499999999999999E-2</v>
      </c>
      <c r="AQ20" s="17" t="s">
        <v>346</v>
      </c>
      <c r="AR20" s="17">
        <v>0.38650000000000001</v>
      </c>
      <c r="AS20" s="17">
        <v>0.25169999999999998</v>
      </c>
      <c r="AT20" s="17" t="s">
        <v>347</v>
      </c>
      <c r="AU20" s="16" t="s">
        <v>18</v>
      </c>
      <c r="AV20" s="8" t="s">
        <v>9</v>
      </c>
    </row>
    <row r="21" spans="1:48">
      <c r="A21" s="16" t="s">
        <v>150</v>
      </c>
      <c r="B21" s="17" t="s">
        <v>348</v>
      </c>
      <c r="C21" s="18" t="s">
        <v>340</v>
      </c>
      <c r="D21" s="18">
        <v>2017</v>
      </c>
      <c r="E21" s="18" t="s">
        <v>341</v>
      </c>
      <c r="F21" s="19" t="s">
        <v>331</v>
      </c>
      <c r="G21" s="16" t="s">
        <v>155</v>
      </c>
      <c r="H21" s="16" t="s">
        <v>177</v>
      </c>
      <c r="I21" s="16" t="s">
        <v>205</v>
      </c>
      <c r="J21" s="16" t="s">
        <v>158</v>
      </c>
      <c r="K21" s="16" t="s">
        <v>159</v>
      </c>
      <c r="L21" s="16" t="s">
        <v>207</v>
      </c>
      <c r="M21" s="16" t="s">
        <v>208</v>
      </c>
      <c r="N21" s="16" t="s">
        <v>349</v>
      </c>
      <c r="O21" s="16" t="s">
        <v>163</v>
      </c>
      <c r="P21" s="16" t="s">
        <v>9</v>
      </c>
      <c r="Q21" s="16" t="s">
        <v>164</v>
      </c>
      <c r="R21" s="16" t="s">
        <v>274</v>
      </c>
      <c r="S21" s="16" t="s">
        <v>350</v>
      </c>
      <c r="T21" s="16" t="s">
        <v>334</v>
      </c>
      <c r="U21" s="16">
        <v>1.677</v>
      </c>
      <c r="V21" s="16" t="s">
        <v>351</v>
      </c>
      <c r="W21" s="16" t="s">
        <v>345</v>
      </c>
      <c r="X21" s="16" t="s">
        <v>170</v>
      </c>
      <c r="Y21" s="16" t="s">
        <v>196</v>
      </c>
      <c r="Z21" s="16" t="s">
        <v>196</v>
      </c>
      <c r="AA21" s="16" t="s">
        <v>196</v>
      </c>
      <c r="AB21" s="16" t="s">
        <v>196</v>
      </c>
      <c r="AC21" s="16">
        <v>15</v>
      </c>
      <c r="AD21" s="16"/>
      <c r="AE21" s="16"/>
      <c r="AF21" s="16"/>
      <c r="AG21" s="16"/>
      <c r="AH21" s="16"/>
      <c r="AI21" s="16"/>
      <c r="AJ21" s="16"/>
      <c r="AK21" s="16"/>
      <c r="AL21" s="16" t="s">
        <v>253</v>
      </c>
      <c r="AM21" s="16" t="s">
        <v>303</v>
      </c>
      <c r="AN21" s="17"/>
      <c r="AO21" s="17">
        <v>0.40939999999999999</v>
      </c>
      <c r="AP21" s="17">
        <v>7.2700000000000001E-2</v>
      </c>
      <c r="AQ21" s="17" t="s">
        <v>352</v>
      </c>
      <c r="AR21" s="17">
        <v>2.1013000000000002</v>
      </c>
      <c r="AS21" s="17">
        <v>0.2392</v>
      </c>
      <c r="AT21" s="17" t="s">
        <v>353</v>
      </c>
      <c r="AU21" s="16" t="s">
        <v>18</v>
      </c>
      <c r="AV21" s="8" t="s">
        <v>9</v>
      </c>
    </row>
    <row r="22" spans="1:48">
      <c r="A22" s="16" t="s">
        <v>150</v>
      </c>
      <c r="B22" s="17" t="s">
        <v>354</v>
      </c>
      <c r="C22" s="18" t="s">
        <v>355</v>
      </c>
      <c r="D22" s="18">
        <v>2026</v>
      </c>
      <c r="E22" s="18" t="s">
        <v>356</v>
      </c>
      <c r="F22" s="19" t="s">
        <v>297</v>
      </c>
      <c r="G22" s="16" t="s">
        <v>155</v>
      </c>
      <c r="H22" s="16" t="s">
        <v>156</v>
      </c>
      <c r="I22" s="16" t="s">
        <v>205</v>
      </c>
      <c r="J22" s="16" t="s">
        <v>158</v>
      </c>
      <c r="K22" s="16" t="s">
        <v>206</v>
      </c>
      <c r="L22" s="16" t="s">
        <v>207</v>
      </c>
      <c r="M22" s="16" t="s">
        <v>208</v>
      </c>
      <c r="N22" s="16" t="s">
        <v>357</v>
      </c>
      <c r="O22" s="16" t="s">
        <v>163</v>
      </c>
      <c r="P22" s="16" t="s">
        <v>18</v>
      </c>
      <c r="Q22" s="16" t="s">
        <v>164</v>
      </c>
      <c r="R22" s="16" t="s">
        <v>211</v>
      </c>
      <c r="S22" s="16" t="s">
        <v>358</v>
      </c>
      <c r="T22" s="16" t="s">
        <v>359</v>
      </c>
      <c r="U22" s="16">
        <v>-50</v>
      </c>
      <c r="V22" s="16" t="s">
        <v>360</v>
      </c>
      <c r="W22" s="16" t="s">
        <v>361</v>
      </c>
      <c r="X22" s="16" t="s">
        <v>179</v>
      </c>
      <c r="Y22" s="16" t="s">
        <v>196</v>
      </c>
      <c r="Z22" s="16" t="s">
        <v>196</v>
      </c>
      <c r="AA22" s="16" t="s">
        <v>196</v>
      </c>
      <c r="AB22" s="16" t="s">
        <v>196</v>
      </c>
      <c r="AC22" s="16">
        <v>21</v>
      </c>
      <c r="AD22" s="16">
        <v>75</v>
      </c>
      <c r="AE22" s="16">
        <v>88.9</v>
      </c>
      <c r="AF22" s="16">
        <v>19.399999999999999</v>
      </c>
      <c r="AG22" s="16">
        <v>21</v>
      </c>
      <c r="AH22" s="16">
        <v>-50</v>
      </c>
      <c r="AI22" s="16">
        <v>42.2</v>
      </c>
      <c r="AJ22" s="16">
        <v>9.1999999999999993</v>
      </c>
      <c r="AK22" s="16">
        <v>21</v>
      </c>
      <c r="AL22" s="16" t="s">
        <v>253</v>
      </c>
      <c r="AM22" s="16" t="s">
        <v>216</v>
      </c>
      <c r="AN22" s="16" t="s">
        <v>362</v>
      </c>
      <c r="AO22" s="16">
        <v>-1.7625</v>
      </c>
      <c r="AP22" s="16">
        <v>0.1341</v>
      </c>
      <c r="AQ22" s="16" t="s">
        <v>363</v>
      </c>
      <c r="AR22" s="17">
        <v>4.0899999999999999E-2</v>
      </c>
      <c r="AS22" s="17">
        <v>0.44119999999999998</v>
      </c>
      <c r="AT22" s="17" t="s">
        <v>364</v>
      </c>
      <c r="AU22" s="16" t="s">
        <v>18</v>
      </c>
      <c r="AV22" s="8" t="s">
        <v>9</v>
      </c>
    </row>
    <row r="23" spans="1:48">
      <c r="A23" s="16" t="s">
        <v>150</v>
      </c>
      <c r="B23" s="17" t="s">
        <v>365</v>
      </c>
      <c r="C23" s="18" t="s">
        <v>355</v>
      </c>
      <c r="D23" s="18">
        <v>2026</v>
      </c>
      <c r="E23" s="18" t="s">
        <v>356</v>
      </c>
      <c r="F23" s="19" t="s">
        <v>297</v>
      </c>
      <c r="G23" s="16" t="s">
        <v>155</v>
      </c>
      <c r="H23" s="16" t="s">
        <v>177</v>
      </c>
      <c r="I23" s="16" t="s">
        <v>205</v>
      </c>
      <c r="J23" s="16" t="s">
        <v>158</v>
      </c>
      <c r="K23" s="16" t="s">
        <v>206</v>
      </c>
      <c r="L23" s="16" t="s">
        <v>207</v>
      </c>
      <c r="M23" s="16" t="s">
        <v>208</v>
      </c>
      <c r="N23" s="16" t="s">
        <v>366</v>
      </c>
      <c r="O23" s="16" t="s">
        <v>163</v>
      </c>
      <c r="P23" s="16" t="s">
        <v>18</v>
      </c>
      <c r="Q23" s="16" t="s">
        <v>164</v>
      </c>
      <c r="R23" s="16" t="s">
        <v>211</v>
      </c>
      <c r="S23" s="16" t="s">
        <v>367</v>
      </c>
      <c r="T23" s="16" t="s">
        <v>359</v>
      </c>
      <c r="U23" s="16">
        <v>65</v>
      </c>
      <c r="V23" s="16" t="s">
        <v>368</v>
      </c>
      <c r="W23" s="16" t="s">
        <v>361</v>
      </c>
      <c r="X23" s="16" t="s">
        <v>170</v>
      </c>
      <c r="Y23" s="16" t="s">
        <v>196</v>
      </c>
      <c r="Z23" s="16" t="s">
        <v>196</v>
      </c>
      <c r="AA23" s="16" t="s">
        <v>196</v>
      </c>
      <c r="AB23" s="16" t="s">
        <v>196</v>
      </c>
      <c r="AC23" s="16">
        <v>21</v>
      </c>
      <c r="AD23" s="16">
        <v>95</v>
      </c>
      <c r="AE23" s="16">
        <v>100.4</v>
      </c>
      <c r="AF23" s="16">
        <v>21.9</v>
      </c>
      <c r="AG23" s="16">
        <v>21</v>
      </c>
      <c r="AH23" s="16">
        <v>65</v>
      </c>
      <c r="AI23" s="16">
        <v>67.8</v>
      </c>
      <c r="AJ23" s="16">
        <v>14.8</v>
      </c>
      <c r="AK23" s="16">
        <v>21</v>
      </c>
      <c r="AL23" s="16" t="s">
        <v>253</v>
      </c>
      <c r="AM23" s="16" t="s">
        <v>216</v>
      </c>
      <c r="AN23" s="16" t="s">
        <v>362</v>
      </c>
      <c r="AO23" s="16">
        <v>-0.34360000000000002</v>
      </c>
      <c r="AP23" s="16">
        <v>9.6699999999999994E-2</v>
      </c>
      <c r="AQ23" s="16" t="s">
        <v>363</v>
      </c>
      <c r="AR23" s="17">
        <v>0.53620000000000001</v>
      </c>
      <c r="AS23" s="17">
        <v>0.31809999999999999</v>
      </c>
      <c r="AT23" s="17" t="s">
        <v>369</v>
      </c>
      <c r="AU23" s="16" t="s">
        <v>18</v>
      </c>
      <c r="AV23" s="8" t="s">
        <v>9</v>
      </c>
    </row>
    <row r="24" spans="1:48">
      <c r="A24" s="16" t="s">
        <v>150</v>
      </c>
      <c r="B24" s="17" t="s">
        <v>370</v>
      </c>
      <c r="C24" s="18" t="s">
        <v>355</v>
      </c>
      <c r="D24" s="18">
        <v>2026</v>
      </c>
      <c r="E24" s="18" t="s">
        <v>356</v>
      </c>
      <c r="F24" s="19" t="s">
        <v>297</v>
      </c>
      <c r="G24" s="16" t="s">
        <v>155</v>
      </c>
      <c r="H24" s="16" t="s">
        <v>184</v>
      </c>
      <c r="I24" s="16" t="s">
        <v>205</v>
      </c>
      <c r="J24" s="16" t="s">
        <v>158</v>
      </c>
      <c r="K24" s="16" t="s">
        <v>206</v>
      </c>
      <c r="L24" s="16" t="s">
        <v>207</v>
      </c>
      <c r="M24" s="16" t="s">
        <v>208</v>
      </c>
      <c r="N24" s="16" t="s">
        <v>371</v>
      </c>
      <c r="O24" s="16" t="s">
        <v>163</v>
      </c>
      <c r="P24" s="16" t="s">
        <v>18</v>
      </c>
      <c r="Q24" s="16" t="s">
        <v>164</v>
      </c>
      <c r="R24" s="16" t="s">
        <v>211</v>
      </c>
      <c r="S24" s="16" t="s">
        <v>372</v>
      </c>
      <c r="T24" s="16" t="s">
        <v>359</v>
      </c>
      <c r="U24" s="16">
        <v>-75</v>
      </c>
      <c r="V24" s="16" t="s">
        <v>373</v>
      </c>
      <c r="W24" s="16" t="s">
        <v>361</v>
      </c>
      <c r="X24" s="16" t="s">
        <v>179</v>
      </c>
      <c r="Y24" s="16" t="s">
        <v>196</v>
      </c>
      <c r="Z24" s="16" t="s">
        <v>196</v>
      </c>
      <c r="AA24" s="16" t="s">
        <v>196</v>
      </c>
      <c r="AB24" s="16" t="s">
        <v>196</v>
      </c>
      <c r="AC24" s="16">
        <v>20</v>
      </c>
      <c r="AD24" s="16">
        <v>110</v>
      </c>
      <c r="AE24" s="16">
        <v>132.4</v>
      </c>
      <c r="AF24" s="16">
        <v>29.6</v>
      </c>
      <c r="AG24" s="16">
        <v>20</v>
      </c>
      <c r="AH24" s="16">
        <v>-75</v>
      </c>
      <c r="AI24" s="16">
        <v>125.7</v>
      </c>
      <c r="AJ24" s="16">
        <v>28.1</v>
      </c>
      <c r="AK24" s="16">
        <v>20</v>
      </c>
      <c r="AL24" s="16" t="s">
        <v>253</v>
      </c>
      <c r="AM24" s="16" t="s">
        <v>216</v>
      </c>
      <c r="AN24" s="16" t="s">
        <v>362</v>
      </c>
      <c r="AO24" s="16">
        <v>-1.4046000000000001</v>
      </c>
      <c r="AP24" s="16">
        <v>0.126</v>
      </c>
      <c r="AQ24" s="16" t="s">
        <v>363</v>
      </c>
      <c r="AR24" s="17">
        <v>7.8299999999999995E-2</v>
      </c>
      <c r="AS24" s="17">
        <v>0.41449999999999998</v>
      </c>
      <c r="AT24" s="17" t="s">
        <v>374</v>
      </c>
      <c r="AU24" s="16" t="s">
        <v>18</v>
      </c>
      <c r="AV24" s="8" t="s">
        <v>9</v>
      </c>
    </row>
    <row r="25" spans="1:48">
      <c r="A25" s="16" t="s">
        <v>150</v>
      </c>
      <c r="B25" s="17" t="s">
        <v>375</v>
      </c>
      <c r="C25" s="18" t="s">
        <v>355</v>
      </c>
      <c r="D25" s="18">
        <v>2026</v>
      </c>
      <c r="E25" s="18" t="s">
        <v>356</v>
      </c>
      <c r="F25" s="19" t="s">
        <v>297</v>
      </c>
      <c r="G25" s="16" t="s">
        <v>155</v>
      </c>
      <c r="H25" s="16" t="s">
        <v>376</v>
      </c>
      <c r="I25" s="16" t="s">
        <v>205</v>
      </c>
      <c r="J25" s="16" t="s">
        <v>158</v>
      </c>
      <c r="K25" s="16" t="s">
        <v>206</v>
      </c>
      <c r="L25" s="16" t="s">
        <v>207</v>
      </c>
      <c r="M25" s="16" t="s">
        <v>208</v>
      </c>
      <c r="N25" s="16" t="s">
        <v>377</v>
      </c>
      <c r="O25" s="16" t="s">
        <v>163</v>
      </c>
      <c r="P25" s="16" t="s">
        <v>18</v>
      </c>
      <c r="Q25" s="16" t="s">
        <v>164</v>
      </c>
      <c r="R25" s="16" t="s">
        <v>211</v>
      </c>
      <c r="S25" s="16" t="s">
        <v>378</v>
      </c>
      <c r="T25" s="16" t="s">
        <v>359</v>
      </c>
      <c r="U25" s="16">
        <v>-10</v>
      </c>
      <c r="V25" s="16" t="s">
        <v>379</v>
      </c>
      <c r="W25" s="16" t="s">
        <v>361</v>
      </c>
      <c r="X25" s="16" t="s">
        <v>170</v>
      </c>
      <c r="Y25" s="16" t="s">
        <v>196</v>
      </c>
      <c r="Z25" s="16" t="s">
        <v>196</v>
      </c>
      <c r="AA25" s="16" t="s">
        <v>196</v>
      </c>
      <c r="AB25" s="16" t="s">
        <v>196</v>
      </c>
      <c r="AC25" s="16">
        <v>20</v>
      </c>
      <c r="AD25" s="16">
        <v>120</v>
      </c>
      <c r="AE25" s="16">
        <v>127.9</v>
      </c>
      <c r="AF25" s="16">
        <v>28.6</v>
      </c>
      <c r="AG25" s="16">
        <v>20</v>
      </c>
      <c r="AH25" s="16">
        <v>-10</v>
      </c>
      <c r="AI25" s="16">
        <v>142.69999999999999</v>
      </c>
      <c r="AJ25" s="16">
        <v>31.9</v>
      </c>
      <c r="AK25" s="16">
        <v>20</v>
      </c>
      <c r="AL25" s="16" t="s">
        <v>253</v>
      </c>
      <c r="AM25" s="16" t="s">
        <v>216</v>
      </c>
      <c r="AN25" s="16" t="s">
        <v>362</v>
      </c>
      <c r="AO25" s="16">
        <v>-0.94030000000000002</v>
      </c>
      <c r="AP25" s="16">
        <v>0.1116</v>
      </c>
      <c r="AQ25" s="16" t="s">
        <v>363</v>
      </c>
      <c r="AR25" s="17">
        <v>0.1817</v>
      </c>
      <c r="AS25" s="17">
        <v>0.36709999999999998</v>
      </c>
      <c r="AT25" s="17" t="s">
        <v>380</v>
      </c>
      <c r="AU25" s="16" t="s">
        <v>18</v>
      </c>
      <c r="AV25" s="8" t="s">
        <v>9</v>
      </c>
    </row>
    <row r="26" spans="1:48">
      <c r="A26" s="16" t="s">
        <v>150</v>
      </c>
      <c r="B26" s="17" t="s">
        <v>381</v>
      </c>
      <c r="C26" s="18" t="s">
        <v>355</v>
      </c>
      <c r="D26" s="18">
        <v>2026</v>
      </c>
      <c r="E26" s="18" t="s">
        <v>356</v>
      </c>
      <c r="F26" s="19" t="s">
        <v>297</v>
      </c>
      <c r="G26" s="16" t="s">
        <v>155</v>
      </c>
      <c r="H26" s="16" t="s">
        <v>382</v>
      </c>
      <c r="I26" s="16" t="s">
        <v>205</v>
      </c>
      <c r="J26" s="16" t="s">
        <v>158</v>
      </c>
      <c r="K26" s="16" t="s">
        <v>206</v>
      </c>
      <c r="L26" s="16" t="s">
        <v>207</v>
      </c>
      <c r="M26" s="16" t="s">
        <v>208</v>
      </c>
      <c r="N26" s="16" t="s">
        <v>383</v>
      </c>
      <c r="O26" s="16" t="s">
        <v>163</v>
      </c>
      <c r="P26" s="16" t="s">
        <v>18</v>
      </c>
      <c r="Q26" s="16" t="s">
        <v>164</v>
      </c>
      <c r="R26" s="16" t="s">
        <v>211</v>
      </c>
      <c r="S26" s="16" t="s">
        <v>384</v>
      </c>
      <c r="T26" s="16" t="s">
        <v>359</v>
      </c>
      <c r="U26" s="16">
        <v>-65</v>
      </c>
      <c r="V26" s="16" t="s">
        <v>385</v>
      </c>
      <c r="W26" s="16" t="s">
        <v>361</v>
      </c>
      <c r="X26" s="16" t="s">
        <v>179</v>
      </c>
      <c r="Y26" s="16" t="s">
        <v>196</v>
      </c>
      <c r="Z26" s="16" t="s">
        <v>196</v>
      </c>
      <c r="AA26" s="16" t="s">
        <v>196</v>
      </c>
      <c r="AB26" s="16" t="s">
        <v>196</v>
      </c>
      <c r="AC26" s="16">
        <v>21</v>
      </c>
      <c r="AD26" s="16">
        <v>90</v>
      </c>
      <c r="AE26" s="16">
        <v>110</v>
      </c>
      <c r="AF26" s="16">
        <v>24</v>
      </c>
      <c r="AG26" s="16">
        <v>21</v>
      </c>
      <c r="AH26" s="16">
        <v>-65</v>
      </c>
      <c r="AI26" s="16">
        <v>133.4</v>
      </c>
      <c r="AJ26" s="16">
        <v>29.1</v>
      </c>
      <c r="AK26" s="16">
        <v>21</v>
      </c>
      <c r="AL26" s="16" t="s">
        <v>253</v>
      </c>
      <c r="AM26" s="16" t="s">
        <v>216</v>
      </c>
      <c r="AN26" s="16" t="s">
        <v>362</v>
      </c>
      <c r="AO26" s="16">
        <v>-1.2439</v>
      </c>
      <c r="AP26" s="16">
        <v>0.11459999999999999</v>
      </c>
      <c r="AQ26" s="16" t="s">
        <v>363</v>
      </c>
      <c r="AR26" s="17">
        <v>0.1047</v>
      </c>
      <c r="AS26" s="17">
        <v>0.377</v>
      </c>
      <c r="AT26" s="17" t="s">
        <v>386</v>
      </c>
      <c r="AU26" s="16" t="s">
        <v>18</v>
      </c>
      <c r="AV26" s="8" t="s">
        <v>9</v>
      </c>
    </row>
    <row r="27" spans="1:48">
      <c r="A27" s="16" t="s">
        <v>150</v>
      </c>
      <c r="B27" s="17" t="s">
        <v>387</v>
      </c>
      <c r="C27" s="18" t="s">
        <v>388</v>
      </c>
      <c r="D27" s="18">
        <v>2019</v>
      </c>
      <c r="E27" s="18" t="s">
        <v>389</v>
      </c>
      <c r="F27" s="19" t="s">
        <v>390</v>
      </c>
      <c r="G27" s="16" t="s">
        <v>155</v>
      </c>
      <c r="H27" s="16" t="s">
        <v>156</v>
      </c>
      <c r="I27" s="16" t="s">
        <v>205</v>
      </c>
      <c r="J27" s="16" t="s">
        <v>158</v>
      </c>
      <c r="K27" s="16" t="s">
        <v>159</v>
      </c>
      <c r="L27" s="16" t="s">
        <v>207</v>
      </c>
      <c r="M27" s="16" t="s">
        <v>208</v>
      </c>
      <c r="N27" s="16" t="s">
        <v>391</v>
      </c>
      <c r="O27" s="16" t="s">
        <v>163</v>
      </c>
      <c r="P27" s="16" t="s">
        <v>18</v>
      </c>
      <c r="Q27" s="16" t="s">
        <v>164</v>
      </c>
      <c r="R27" s="16" t="s">
        <v>274</v>
      </c>
      <c r="S27" s="16" t="s">
        <v>392</v>
      </c>
      <c r="T27" s="16" t="s">
        <v>393</v>
      </c>
      <c r="U27" s="16">
        <v>7.9539999999999997</v>
      </c>
      <c r="V27" s="16" t="s">
        <v>394</v>
      </c>
      <c r="W27" s="16" t="s">
        <v>395</v>
      </c>
      <c r="X27" s="16" t="s">
        <v>179</v>
      </c>
      <c r="Y27" s="16" t="s">
        <v>196</v>
      </c>
      <c r="Z27" s="16" t="s">
        <v>196</v>
      </c>
      <c r="AA27" s="16" t="s">
        <v>196</v>
      </c>
      <c r="AB27" s="16" t="s">
        <v>196</v>
      </c>
      <c r="AC27" s="16">
        <v>16</v>
      </c>
      <c r="AD27" s="16"/>
      <c r="AE27" s="16"/>
      <c r="AF27" s="16"/>
      <c r="AG27" s="16"/>
      <c r="AH27" s="16"/>
      <c r="AI27" s="16"/>
      <c r="AJ27" s="16"/>
      <c r="AK27" s="16"/>
      <c r="AL27" s="16" t="s">
        <v>253</v>
      </c>
      <c r="AM27" s="16" t="s">
        <v>303</v>
      </c>
      <c r="AN27" s="16" t="s">
        <v>396</v>
      </c>
      <c r="AO27" s="17">
        <v>1.8874</v>
      </c>
      <c r="AP27" s="17">
        <v>0.1812</v>
      </c>
      <c r="AQ27" s="17" t="s">
        <v>397</v>
      </c>
      <c r="AR27" s="17">
        <v>30.672499999999999</v>
      </c>
      <c r="AS27" s="17">
        <v>0.59609999999999996</v>
      </c>
      <c r="AT27" s="17" t="s">
        <v>398</v>
      </c>
      <c r="AU27" s="16" t="s">
        <v>18</v>
      </c>
      <c r="AV27" s="8" t="s">
        <v>9</v>
      </c>
    </row>
    <row r="28" spans="1:48">
      <c r="A28" s="16" t="s">
        <v>150</v>
      </c>
      <c r="B28" s="17" t="s">
        <v>399</v>
      </c>
      <c r="C28" s="18" t="s">
        <v>388</v>
      </c>
      <c r="D28" s="18">
        <v>2019</v>
      </c>
      <c r="E28" s="18" t="s">
        <v>389</v>
      </c>
      <c r="F28" s="19" t="s">
        <v>390</v>
      </c>
      <c r="G28" s="16" t="s">
        <v>155</v>
      </c>
      <c r="H28" s="16" t="s">
        <v>177</v>
      </c>
      <c r="I28" s="16" t="s">
        <v>205</v>
      </c>
      <c r="J28" s="16" t="s">
        <v>158</v>
      </c>
      <c r="K28" s="16" t="s">
        <v>159</v>
      </c>
      <c r="L28" s="16" t="s">
        <v>207</v>
      </c>
      <c r="M28" s="16" t="s">
        <v>208</v>
      </c>
      <c r="N28" s="16" t="s">
        <v>391</v>
      </c>
      <c r="O28" s="16" t="s">
        <v>163</v>
      </c>
      <c r="P28" s="16" t="s">
        <v>18</v>
      </c>
      <c r="Q28" s="16" t="s">
        <v>164</v>
      </c>
      <c r="R28" s="16" t="s">
        <v>274</v>
      </c>
      <c r="S28" s="16" t="s">
        <v>400</v>
      </c>
      <c r="T28" s="16" t="s">
        <v>393</v>
      </c>
      <c r="U28" s="16">
        <v>1.5660000000000001</v>
      </c>
      <c r="V28" s="16" t="s">
        <v>401</v>
      </c>
      <c r="W28" s="16" t="s">
        <v>395</v>
      </c>
      <c r="X28" s="16" t="s">
        <v>170</v>
      </c>
      <c r="Y28" s="16" t="s">
        <v>196</v>
      </c>
      <c r="Z28" s="16" t="s">
        <v>196</v>
      </c>
      <c r="AA28" s="16" t="s">
        <v>196</v>
      </c>
      <c r="AB28" s="16" t="s">
        <v>196</v>
      </c>
      <c r="AC28" s="16">
        <v>18</v>
      </c>
      <c r="AD28" s="16"/>
      <c r="AE28" s="16"/>
      <c r="AF28" s="16"/>
      <c r="AG28" s="16"/>
      <c r="AH28" s="16"/>
      <c r="AI28" s="16"/>
      <c r="AJ28" s="16"/>
      <c r="AK28" s="16"/>
      <c r="AL28" s="16" t="s">
        <v>253</v>
      </c>
      <c r="AM28" s="16" t="s">
        <v>303</v>
      </c>
      <c r="AN28" s="16" t="s">
        <v>396</v>
      </c>
      <c r="AO28" s="17">
        <v>0.35260000000000002</v>
      </c>
      <c r="AP28" s="17">
        <v>5.9200000000000003E-2</v>
      </c>
      <c r="AQ28" s="17" t="s">
        <v>402</v>
      </c>
      <c r="AR28" s="17">
        <v>1.8956</v>
      </c>
      <c r="AS28" s="17">
        <v>0.1948</v>
      </c>
      <c r="AT28" s="17" t="s">
        <v>403</v>
      </c>
      <c r="AU28" s="16" t="s">
        <v>18</v>
      </c>
      <c r="AV28" s="8" t="s">
        <v>9</v>
      </c>
    </row>
    <row r="29" spans="1:48">
      <c r="A29" s="16" t="s">
        <v>150</v>
      </c>
      <c r="B29" s="17" t="s">
        <v>404</v>
      </c>
      <c r="C29" s="18" t="s">
        <v>405</v>
      </c>
      <c r="D29" s="18">
        <v>2024</v>
      </c>
      <c r="E29" s="18" t="s">
        <v>406</v>
      </c>
      <c r="F29" s="19" t="s">
        <v>390</v>
      </c>
      <c r="G29" s="16" t="s">
        <v>155</v>
      </c>
      <c r="H29" s="16" t="s">
        <v>156</v>
      </c>
      <c r="I29" s="16" t="s">
        <v>205</v>
      </c>
      <c r="J29" s="16" t="s">
        <v>158</v>
      </c>
      <c r="K29" s="16" t="s">
        <v>159</v>
      </c>
      <c r="L29" s="16" t="s">
        <v>207</v>
      </c>
      <c r="M29" s="16" t="s">
        <v>208</v>
      </c>
      <c r="N29" s="16" t="s">
        <v>407</v>
      </c>
      <c r="O29" s="16" t="s">
        <v>163</v>
      </c>
      <c r="P29" s="16" t="s">
        <v>18</v>
      </c>
      <c r="Q29" s="16" t="s">
        <v>164</v>
      </c>
      <c r="R29" s="16" t="s">
        <v>193</v>
      </c>
      <c r="S29" s="16" t="s">
        <v>408</v>
      </c>
      <c r="T29" s="16" t="s">
        <v>409</v>
      </c>
      <c r="U29" s="16">
        <v>6.1230000000000002</v>
      </c>
      <c r="V29" s="16" t="s">
        <v>410</v>
      </c>
      <c r="W29" s="16" t="s">
        <v>411</v>
      </c>
      <c r="X29" s="16" t="s">
        <v>179</v>
      </c>
      <c r="Y29" s="16" t="s">
        <v>196</v>
      </c>
      <c r="Z29" s="16" t="s">
        <v>196</v>
      </c>
      <c r="AA29" s="16" t="s">
        <v>196</v>
      </c>
      <c r="AB29" s="16" t="s">
        <v>196</v>
      </c>
      <c r="AC29" s="16">
        <v>18</v>
      </c>
      <c r="AD29" s="16">
        <v>196.78</v>
      </c>
      <c r="AE29" s="16">
        <v>112.9</v>
      </c>
      <c r="AF29" s="16">
        <v>26.6</v>
      </c>
      <c r="AG29" s="16">
        <v>18</v>
      </c>
      <c r="AH29" s="16">
        <v>427.17</v>
      </c>
      <c r="AI29" s="16">
        <v>112.9</v>
      </c>
      <c r="AJ29" s="16">
        <v>26.6</v>
      </c>
      <c r="AK29" s="16">
        <v>18</v>
      </c>
      <c r="AL29" s="16" t="s">
        <v>253</v>
      </c>
      <c r="AM29" s="16" t="s">
        <v>216</v>
      </c>
      <c r="AN29" s="16" t="s">
        <v>412</v>
      </c>
      <c r="AO29" s="16">
        <v>1.9956</v>
      </c>
      <c r="AP29" s="16">
        <v>0.16969999999999999</v>
      </c>
      <c r="AQ29" s="16" t="s">
        <v>413</v>
      </c>
      <c r="AR29" s="17">
        <v>37.323300000000003</v>
      </c>
      <c r="AS29" s="17">
        <v>0.55830000000000002</v>
      </c>
      <c r="AT29" s="17" t="s">
        <v>414</v>
      </c>
      <c r="AU29" s="16" t="s">
        <v>18</v>
      </c>
      <c r="AV29" s="8" t="s">
        <v>9</v>
      </c>
    </row>
    <row r="30" spans="1:48">
      <c r="A30" s="16" t="s">
        <v>150</v>
      </c>
      <c r="B30" s="17" t="s">
        <v>415</v>
      </c>
      <c r="C30" s="18" t="s">
        <v>405</v>
      </c>
      <c r="D30" s="18">
        <v>2024</v>
      </c>
      <c r="E30" s="18" t="s">
        <v>406</v>
      </c>
      <c r="F30" s="19" t="s">
        <v>390</v>
      </c>
      <c r="G30" s="16" t="s">
        <v>155</v>
      </c>
      <c r="H30" s="16" t="s">
        <v>177</v>
      </c>
      <c r="I30" s="16" t="s">
        <v>205</v>
      </c>
      <c r="J30" s="16" t="s">
        <v>158</v>
      </c>
      <c r="K30" s="16" t="s">
        <v>159</v>
      </c>
      <c r="L30" s="16" t="s">
        <v>207</v>
      </c>
      <c r="M30" s="16" t="s">
        <v>208</v>
      </c>
      <c r="N30" s="16" t="s">
        <v>416</v>
      </c>
      <c r="O30" s="16" t="s">
        <v>163</v>
      </c>
      <c r="P30" s="16" t="s">
        <v>18</v>
      </c>
      <c r="Q30" s="16" t="s">
        <v>164</v>
      </c>
      <c r="R30" s="16" t="s">
        <v>193</v>
      </c>
      <c r="S30" s="16" t="s">
        <v>417</v>
      </c>
      <c r="T30" s="16" t="s">
        <v>409</v>
      </c>
      <c r="U30" s="16">
        <v>6.6180000000000003</v>
      </c>
      <c r="V30" s="16" t="s">
        <v>418</v>
      </c>
      <c r="W30" s="16" t="s">
        <v>419</v>
      </c>
      <c r="X30" s="16" t="s">
        <v>179</v>
      </c>
      <c r="Y30" s="16" t="s">
        <v>196</v>
      </c>
      <c r="Z30" s="16" t="s">
        <v>196</v>
      </c>
      <c r="AA30" s="16" t="s">
        <v>196</v>
      </c>
      <c r="AB30" s="16" t="s">
        <v>196</v>
      </c>
      <c r="AC30" s="16">
        <v>19</v>
      </c>
      <c r="AD30" s="16">
        <v>198.95</v>
      </c>
      <c r="AE30" s="16">
        <v>100.1</v>
      </c>
      <c r="AF30" s="16">
        <v>23</v>
      </c>
      <c r="AG30" s="16">
        <v>19</v>
      </c>
      <c r="AH30" s="16">
        <v>413.9</v>
      </c>
      <c r="AI30" s="16">
        <v>100.1</v>
      </c>
      <c r="AJ30" s="16">
        <v>23</v>
      </c>
      <c r="AK30" s="16">
        <v>19</v>
      </c>
      <c r="AL30" s="16" t="s">
        <v>253</v>
      </c>
      <c r="AM30" s="16" t="s">
        <v>216</v>
      </c>
      <c r="AN30" s="16" t="s">
        <v>420</v>
      </c>
      <c r="AO30" s="16">
        <v>2.1021000000000001</v>
      </c>
      <c r="AP30" s="16">
        <v>0.1666</v>
      </c>
      <c r="AQ30" s="16" t="s">
        <v>421</v>
      </c>
      <c r="AR30" s="17">
        <v>45.276499999999999</v>
      </c>
      <c r="AS30" s="17">
        <v>0.54810000000000003</v>
      </c>
      <c r="AT30" s="17" t="s">
        <v>422</v>
      </c>
      <c r="AU30" s="16" t="s">
        <v>18</v>
      </c>
      <c r="AV30" s="8" t="s">
        <v>9</v>
      </c>
    </row>
    <row r="31" spans="1:48">
      <c r="A31" s="16" t="s">
        <v>150</v>
      </c>
      <c r="B31" s="17" t="s">
        <v>423</v>
      </c>
      <c r="C31" s="18" t="s">
        <v>405</v>
      </c>
      <c r="D31" s="18">
        <v>2024</v>
      </c>
      <c r="E31" s="18" t="s">
        <v>406</v>
      </c>
      <c r="F31" s="19" t="s">
        <v>390</v>
      </c>
      <c r="G31" s="16" t="s">
        <v>155</v>
      </c>
      <c r="H31" s="16" t="s">
        <v>184</v>
      </c>
      <c r="I31" s="16" t="s">
        <v>205</v>
      </c>
      <c r="J31" s="16" t="s">
        <v>158</v>
      </c>
      <c r="K31" s="16" t="s">
        <v>159</v>
      </c>
      <c r="L31" s="16" t="s">
        <v>207</v>
      </c>
      <c r="M31" s="16" t="s">
        <v>208</v>
      </c>
      <c r="N31" s="16" t="s">
        <v>424</v>
      </c>
      <c r="O31" s="16" t="s">
        <v>163</v>
      </c>
      <c r="P31" s="16" t="s">
        <v>18</v>
      </c>
      <c r="Q31" s="16" t="s">
        <v>164</v>
      </c>
      <c r="R31" s="16" t="s">
        <v>193</v>
      </c>
      <c r="S31" s="16" t="s">
        <v>425</v>
      </c>
      <c r="T31" s="16" t="s">
        <v>409</v>
      </c>
      <c r="U31" s="16">
        <v>3.1E-2</v>
      </c>
      <c r="V31" s="16" t="s">
        <v>426</v>
      </c>
      <c r="W31" s="16" t="s">
        <v>427</v>
      </c>
      <c r="X31" s="16" t="s">
        <v>170</v>
      </c>
      <c r="Y31" s="16" t="s">
        <v>196</v>
      </c>
      <c r="Z31" s="16" t="s">
        <v>196</v>
      </c>
      <c r="AA31" s="16" t="s">
        <v>196</v>
      </c>
      <c r="AB31" s="16" t="s">
        <v>196</v>
      </c>
      <c r="AC31" s="16">
        <v>17</v>
      </c>
      <c r="AD31" s="16">
        <v>268.24</v>
      </c>
      <c r="AE31" s="16">
        <v>77.099999999999994</v>
      </c>
      <c r="AF31" s="16">
        <v>18.7</v>
      </c>
      <c r="AG31" s="16">
        <v>17</v>
      </c>
      <c r="AH31" s="16">
        <v>269.06</v>
      </c>
      <c r="AI31" s="16">
        <v>77.099999999999994</v>
      </c>
      <c r="AJ31" s="16">
        <v>18.7</v>
      </c>
      <c r="AK31" s="16">
        <v>17</v>
      </c>
      <c r="AL31" s="16" t="s">
        <v>253</v>
      </c>
      <c r="AM31" s="16" t="s">
        <v>216</v>
      </c>
      <c r="AN31" s="16" t="s">
        <v>428</v>
      </c>
      <c r="AO31" s="16">
        <v>1.04E-2</v>
      </c>
      <c r="AP31" s="16">
        <v>0.1176</v>
      </c>
      <c r="AQ31" s="16" t="s">
        <v>429</v>
      </c>
      <c r="AR31" s="17">
        <v>1.0189999999999999</v>
      </c>
      <c r="AS31" s="17">
        <v>0.38690000000000002</v>
      </c>
      <c r="AT31" s="17" t="s">
        <v>430</v>
      </c>
      <c r="AU31" s="16" t="s">
        <v>18</v>
      </c>
      <c r="AV31" s="8" t="s">
        <v>9</v>
      </c>
    </row>
    <row r="32" spans="1:48">
      <c r="A32" s="16" t="s">
        <v>150</v>
      </c>
      <c r="B32" s="17" t="s">
        <v>431</v>
      </c>
      <c r="C32" s="18" t="s">
        <v>405</v>
      </c>
      <c r="D32" s="18">
        <v>2024</v>
      </c>
      <c r="E32" s="18" t="s">
        <v>406</v>
      </c>
      <c r="F32" s="19" t="s">
        <v>390</v>
      </c>
      <c r="G32" s="16" t="s">
        <v>155</v>
      </c>
      <c r="H32" s="16" t="s">
        <v>376</v>
      </c>
      <c r="I32" s="16" t="s">
        <v>157</v>
      </c>
      <c r="J32" s="16" t="s">
        <v>158</v>
      </c>
      <c r="K32" s="16" t="s">
        <v>159</v>
      </c>
      <c r="L32" s="16" t="s">
        <v>207</v>
      </c>
      <c r="M32" s="16" t="s">
        <v>208</v>
      </c>
      <c r="N32" s="16" t="s">
        <v>432</v>
      </c>
      <c r="O32" s="16" t="s">
        <v>163</v>
      </c>
      <c r="P32" s="16" t="s">
        <v>18</v>
      </c>
      <c r="Q32" s="16" t="s">
        <v>164</v>
      </c>
      <c r="R32" s="16" t="s">
        <v>193</v>
      </c>
      <c r="S32" s="16" t="s">
        <v>433</v>
      </c>
      <c r="T32" s="16" t="s">
        <v>434</v>
      </c>
      <c r="U32" s="16">
        <v>4.0030000000000001</v>
      </c>
      <c r="V32" s="16" t="s">
        <v>435</v>
      </c>
      <c r="W32" s="16" t="s">
        <v>436</v>
      </c>
      <c r="X32" s="16" t="s">
        <v>179</v>
      </c>
      <c r="Y32" s="16" t="s">
        <v>196</v>
      </c>
      <c r="Z32" s="16" t="s">
        <v>196</v>
      </c>
      <c r="AA32" s="16" t="s">
        <v>196</v>
      </c>
      <c r="AB32" s="16" t="s">
        <v>196</v>
      </c>
      <c r="AC32" s="16">
        <v>20</v>
      </c>
      <c r="AD32" s="16">
        <v>269.5</v>
      </c>
      <c r="AE32" s="16">
        <v>116.3</v>
      </c>
      <c r="AF32" s="16">
        <v>26</v>
      </c>
      <c r="AG32" s="16">
        <v>20</v>
      </c>
      <c r="AH32" s="16">
        <v>429.5</v>
      </c>
      <c r="AI32" s="16">
        <v>80.5</v>
      </c>
      <c r="AJ32" s="16">
        <v>18</v>
      </c>
      <c r="AK32" s="16">
        <v>20</v>
      </c>
      <c r="AL32" s="16" t="s">
        <v>253</v>
      </c>
      <c r="AM32" s="16" t="s">
        <v>216</v>
      </c>
      <c r="AN32" s="16" t="s">
        <v>437</v>
      </c>
      <c r="AO32" s="16">
        <v>0.85929999999999995</v>
      </c>
      <c r="AP32" s="16">
        <v>6.9400000000000003E-2</v>
      </c>
      <c r="AQ32" s="16" t="s">
        <v>438</v>
      </c>
      <c r="AR32" s="17">
        <v>4.7522000000000002</v>
      </c>
      <c r="AS32" s="17">
        <v>0.2283</v>
      </c>
      <c r="AT32" s="17" t="s">
        <v>439</v>
      </c>
      <c r="AU32" s="16" t="s">
        <v>18</v>
      </c>
      <c r="AV32" s="8" t="s">
        <v>9</v>
      </c>
    </row>
    <row r="33" spans="1:48">
      <c r="A33" s="16" t="s">
        <v>150</v>
      </c>
      <c r="B33" s="17" t="s">
        <v>440</v>
      </c>
      <c r="C33" s="18" t="s">
        <v>405</v>
      </c>
      <c r="D33" s="18">
        <v>2024</v>
      </c>
      <c r="E33" s="18" t="s">
        <v>406</v>
      </c>
      <c r="F33" s="19" t="s">
        <v>390</v>
      </c>
      <c r="G33" s="16" t="s">
        <v>155</v>
      </c>
      <c r="H33" s="16" t="s">
        <v>382</v>
      </c>
      <c r="I33" s="16" t="s">
        <v>205</v>
      </c>
      <c r="J33" s="16" t="s">
        <v>158</v>
      </c>
      <c r="K33" s="16" t="s">
        <v>159</v>
      </c>
      <c r="L33" s="16" t="s">
        <v>207</v>
      </c>
      <c r="M33" s="16" t="s">
        <v>208</v>
      </c>
      <c r="N33" s="16" t="s">
        <v>441</v>
      </c>
      <c r="O33" s="16" t="s">
        <v>163</v>
      </c>
      <c r="P33" s="16" t="s">
        <v>18</v>
      </c>
      <c r="Q33" s="16" t="s">
        <v>164</v>
      </c>
      <c r="R33" s="16" t="s">
        <v>193</v>
      </c>
      <c r="S33" s="16" t="s">
        <v>442</v>
      </c>
      <c r="T33" s="16" t="s">
        <v>443</v>
      </c>
      <c r="U33" s="16">
        <v>1.208</v>
      </c>
      <c r="V33" s="16" t="s">
        <v>444</v>
      </c>
      <c r="W33" s="16" t="s">
        <v>445</v>
      </c>
      <c r="X33" s="16" t="s">
        <v>170</v>
      </c>
      <c r="Y33" s="16" t="s">
        <v>196</v>
      </c>
      <c r="Z33" s="16" t="s">
        <v>196</v>
      </c>
      <c r="AA33" s="16" t="s">
        <v>196</v>
      </c>
      <c r="AB33" s="16" t="s">
        <v>196</v>
      </c>
      <c r="AC33" s="16">
        <v>20</v>
      </c>
      <c r="AD33" s="16">
        <v>245.2</v>
      </c>
      <c r="AE33" s="16">
        <v>80.599999999999994</v>
      </c>
      <c r="AF33" s="16">
        <v>18</v>
      </c>
      <c r="AG33" s="16">
        <v>20</v>
      </c>
      <c r="AH33" s="16">
        <v>276</v>
      </c>
      <c r="AI33" s="16">
        <v>80.599999999999994</v>
      </c>
      <c r="AJ33" s="16">
        <v>18</v>
      </c>
      <c r="AK33" s="16">
        <v>20</v>
      </c>
      <c r="AL33" s="16" t="s">
        <v>253</v>
      </c>
      <c r="AM33" s="16" t="s">
        <v>216</v>
      </c>
      <c r="AN33" s="16" t="s">
        <v>446</v>
      </c>
      <c r="AO33" s="16">
        <v>0.37440000000000001</v>
      </c>
      <c r="AP33" s="16">
        <v>0.1018</v>
      </c>
      <c r="AQ33" s="16" t="s">
        <v>447</v>
      </c>
      <c r="AR33" s="17">
        <v>1.9721</v>
      </c>
      <c r="AS33" s="17">
        <v>0.33489999999999998</v>
      </c>
      <c r="AT33" s="17" t="s">
        <v>448</v>
      </c>
      <c r="AU33" s="16" t="s">
        <v>18</v>
      </c>
      <c r="AV33" s="8" t="s">
        <v>9</v>
      </c>
    </row>
    <row r="34" spans="1:48">
      <c r="A34" s="16" t="s">
        <v>150</v>
      </c>
      <c r="B34" s="17" t="s">
        <v>449</v>
      </c>
      <c r="C34" s="18" t="s">
        <v>450</v>
      </c>
      <c r="D34" s="18">
        <v>2019</v>
      </c>
      <c r="E34" s="18" t="s">
        <v>450</v>
      </c>
      <c r="F34" s="19" t="s">
        <v>154</v>
      </c>
      <c r="G34" s="16" t="s">
        <v>155</v>
      </c>
      <c r="H34" s="16" t="s">
        <v>156</v>
      </c>
      <c r="I34" s="16" t="s">
        <v>157</v>
      </c>
      <c r="J34" s="16" t="s">
        <v>158</v>
      </c>
      <c r="K34" s="16" t="s">
        <v>159</v>
      </c>
      <c r="L34" s="16" t="s">
        <v>160</v>
      </c>
      <c r="M34" s="16" t="s">
        <v>161</v>
      </c>
      <c r="N34" s="16" t="s">
        <v>451</v>
      </c>
      <c r="O34" s="16" t="s">
        <v>163</v>
      </c>
      <c r="P34" s="16" t="s">
        <v>18</v>
      </c>
      <c r="Q34" s="16" t="s">
        <v>164</v>
      </c>
      <c r="R34" s="16" t="s">
        <v>211</v>
      </c>
      <c r="S34" s="16" t="s">
        <v>452</v>
      </c>
      <c r="T34" s="16" t="s">
        <v>453</v>
      </c>
      <c r="U34" s="16">
        <v>0.67</v>
      </c>
      <c r="V34" s="16" t="s">
        <v>454</v>
      </c>
      <c r="W34" s="16" t="s">
        <v>455</v>
      </c>
      <c r="X34" s="16" t="s">
        <v>179</v>
      </c>
      <c r="Y34" s="16">
        <v>60</v>
      </c>
      <c r="Z34" s="16">
        <v>30</v>
      </c>
      <c r="AA34" s="16">
        <v>45</v>
      </c>
      <c r="AB34" s="16">
        <v>45</v>
      </c>
      <c r="AC34" s="16">
        <v>90</v>
      </c>
      <c r="AD34" s="16"/>
      <c r="AE34" s="16"/>
      <c r="AF34" s="16"/>
      <c r="AG34" s="16"/>
      <c r="AH34" s="16"/>
      <c r="AI34" s="16"/>
      <c r="AJ34" s="16"/>
      <c r="AK34" s="16"/>
      <c r="AL34" s="16" t="s">
        <v>171</v>
      </c>
      <c r="AM34" s="16" t="s">
        <v>172</v>
      </c>
      <c r="AN34" s="16" t="s">
        <v>456</v>
      </c>
      <c r="AO34" s="17">
        <v>0.37890000000000001</v>
      </c>
      <c r="AP34" s="17">
        <v>2.8199999999999999E-2</v>
      </c>
      <c r="AQ34" s="17" t="s">
        <v>457</v>
      </c>
      <c r="AR34" s="17">
        <v>2</v>
      </c>
      <c r="AS34" s="17">
        <v>9.4399999999999998E-2</v>
      </c>
      <c r="AT34" s="17" t="s">
        <v>458</v>
      </c>
      <c r="AU34" s="16" t="s">
        <v>18</v>
      </c>
      <c r="AV34" s="8" t="s">
        <v>9</v>
      </c>
    </row>
    <row r="35" spans="1:48">
      <c r="A35" s="16" t="s">
        <v>150</v>
      </c>
      <c r="B35" s="17" t="s">
        <v>459</v>
      </c>
      <c r="C35" s="18" t="s">
        <v>460</v>
      </c>
      <c r="D35" s="18">
        <v>2013</v>
      </c>
      <c r="E35" s="18" t="s">
        <v>460</v>
      </c>
      <c r="F35" s="19" t="s">
        <v>297</v>
      </c>
      <c r="G35" s="16" t="s">
        <v>155</v>
      </c>
      <c r="H35" s="16" t="s">
        <v>156</v>
      </c>
      <c r="I35" s="16" t="s">
        <v>205</v>
      </c>
      <c r="J35" s="16" t="s">
        <v>158</v>
      </c>
      <c r="K35" s="16" t="s">
        <v>206</v>
      </c>
      <c r="L35" s="16" t="s">
        <v>207</v>
      </c>
      <c r="M35" s="16" t="s">
        <v>208</v>
      </c>
      <c r="N35" s="16" t="s">
        <v>461</v>
      </c>
      <c r="O35" s="16" t="s">
        <v>163</v>
      </c>
      <c r="P35" s="16" t="s">
        <v>18</v>
      </c>
      <c r="Q35" s="16" t="s">
        <v>164</v>
      </c>
      <c r="R35" s="16" t="s">
        <v>274</v>
      </c>
      <c r="S35" s="16" t="s">
        <v>462</v>
      </c>
      <c r="T35" s="16" t="s">
        <v>463</v>
      </c>
      <c r="U35" s="16">
        <v>-2.2400000000000002</v>
      </c>
      <c r="V35" s="16" t="s">
        <v>464</v>
      </c>
      <c r="W35" s="16" t="s">
        <v>465</v>
      </c>
      <c r="X35" s="16" t="s">
        <v>179</v>
      </c>
      <c r="Y35" s="16" t="s">
        <v>196</v>
      </c>
      <c r="Z35" s="16" t="s">
        <v>196</v>
      </c>
      <c r="AA35" s="16" t="s">
        <v>196</v>
      </c>
      <c r="AB35" s="16" t="s">
        <v>196</v>
      </c>
      <c r="AC35" s="16">
        <v>48</v>
      </c>
      <c r="AD35" s="16"/>
      <c r="AE35" s="16"/>
      <c r="AF35" s="16"/>
      <c r="AG35" s="16"/>
      <c r="AH35" s="16"/>
      <c r="AI35" s="16"/>
      <c r="AJ35" s="16"/>
      <c r="AK35" s="16"/>
      <c r="AL35" s="16" t="s">
        <v>171</v>
      </c>
      <c r="AM35" s="16" t="s">
        <v>303</v>
      </c>
      <c r="AN35" s="16" t="s">
        <v>466</v>
      </c>
      <c r="AO35" s="17">
        <v>-0.63600000000000001</v>
      </c>
      <c r="AP35" s="17">
        <v>8.77E-2</v>
      </c>
      <c r="AQ35" s="17" t="s">
        <v>467</v>
      </c>
      <c r="AR35" s="17">
        <v>0.3155</v>
      </c>
      <c r="AS35" s="17">
        <v>0.28849999999999998</v>
      </c>
      <c r="AT35" s="17" t="s">
        <v>468</v>
      </c>
      <c r="AU35" s="16" t="s">
        <v>18</v>
      </c>
      <c r="AV35" s="8" t="s">
        <v>9</v>
      </c>
    </row>
    <row r="36" spans="1:48">
      <c r="A36" s="16" t="s">
        <v>150</v>
      </c>
      <c r="B36" s="17" t="s">
        <v>469</v>
      </c>
      <c r="C36" s="18" t="s">
        <v>470</v>
      </c>
      <c r="D36" s="18">
        <v>2025</v>
      </c>
      <c r="E36" s="18" t="s">
        <v>471</v>
      </c>
      <c r="F36" s="19" t="s">
        <v>154</v>
      </c>
      <c r="G36" s="16" t="s">
        <v>155</v>
      </c>
      <c r="H36" s="16" t="s">
        <v>156</v>
      </c>
      <c r="I36" s="16" t="s">
        <v>157</v>
      </c>
      <c r="J36" s="16" t="s">
        <v>158</v>
      </c>
      <c r="K36" s="16" t="s">
        <v>206</v>
      </c>
      <c r="L36" s="16" t="s">
        <v>160</v>
      </c>
      <c r="M36" s="16" t="s">
        <v>161</v>
      </c>
      <c r="N36" s="16" t="s">
        <v>472</v>
      </c>
      <c r="O36" s="16" t="s">
        <v>163</v>
      </c>
      <c r="P36" s="16" t="s">
        <v>18</v>
      </c>
      <c r="Q36" s="16" t="s">
        <v>164</v>
      </c>
      <c r="R36" s="16" t="s">
        <v>165</v>
      </c>
      <c r="S36" s="16" t="s">
        <v>473</v>
      </c>
      <c r="T36" s="16" t="s">
        <v>474</v>
      </c>
      <c r="U36" s="16" t="s">
        <v>196</v>
      </c>
      <c r="V36" s="16" t="s">
        <v>475</v>
      </c>
      <c r="W36" s="16" t="s">
        <v>476</v>
      </c>
      <c r="X36" s="16" t="s">
        <v>179</v>
      </c>
      <c r="Y36" s="16">
        <v>40</v>
      </c>
      <c r="Z36" s="16">
        <v>21</v>
      </c>
      <c r="AA36" s="16">
        <v>26</v>
      </c>
      <c r="AB36" s="16">
        <v>27</v>
      </c>
      <c r="AC36" s="16">
        <v>114</v>
      </c>
      <c r="AD36" s="16"/>
      <c r="AE36" s="16"/>
      <c r="AF36" s="16"/>
      <c r="AG36" s="16"/>
      <c r="AH36" s="16"/>
      <c r="AI36" s="16"/>
      <c r="AJ36" s="16"/>
      <c r="AK36" s="16"/>
      <c r="AL36" s="16" t="s">
        <v>253</v>
      </c>
      <c r="AM36" s="16" t="s">
        <v>172</v>
      </c>
      <c r="AN36" s="16" t="s">
        <v>477</v>
      </c>
      <c r="AO36" s="16">
        <v>0.37359999999999999</v>
      </c>
      <c r="AP36" s="16">
        <v>4.4400000000000002E-2</v>
      </c>
      <c r="AQ36" s="16" t="s">
        <v>478</v>
      </c>
      <c r="AR36" s="16">
        <v>1.978</v>
      </c>
      <c r="AS36" s="16">
        <v>0.14810000000000001</v>
      </c>
      <c r="AT36" s="17" t="s">
        <v>479</v>
      </c>
      <c r="AU36" s="16" t="s">
        <v>18</v>
      </c>
      <c r="AV36" s="8" t="s">
        <v>9</v>
      </c>
    </row>
    <row r="37" spans="1:48">
      <c r="A37" s="16" t="s">
        <v>150</v>
      </c>
      <c r="B37" s="17" t="s">
        <v>480</v>
      </c>
      <c r="C37" s="18" t="s">
        <v>470</v>
      </c>
      <c r="D37" s="18">
        <v>2025</v>
      </c>
      <c r="E37" s="18" t="s">
        <v>471</v>
      </c>
      <c r="F37" s="19" t="s">
        <v>154</v>
      </c>
      <c r="G37" s="16" t="s">
        <v>155</v>
      </c>
      <c r="H37" s="16" t="s">
        <v>177</v>
      </c>
      <c r="I37" s="16" t="s">
        <v>157</v>
      </c>
      <c r="J37" s="16" t="s">
        <v>158</v>
      </c>
      <c r="K37" s="16" t="s">
        <v>206</v>
      </c>
      <c r="L37" s="16" t="s">
        <v>160</v>
      </c>
      <c r="M37" s="16" t="s">
        <v>161</v>
      </c>
      <c r="N37" s="16" t="s">
        <v>472</v>
      </c>
      <c r="O37" s="16" t="s">
        <v>163</v>
      </c>
      <c r="P37" s="16" t="s">
        <v>18</v>
      </c>
      <c r="Q37" s="16" t="s">
        <v>164</v>
      </c>
      <c r="R37" s="16" t="s">
        <v>165</v>
      </c>
      <c r="S37" s="16" t="s">
        <v>481</v>
      </c>
      <c r="T37" s="16" t="s">
        <v>474</v>
      </c>
      <c r="U37" s="16" t="s">
        <v>196</v>
      </c>
      <c r="V37" s="16" t="s">
        <v>482</v>
      </c>
      <c r="W37" s="16" t="s">
        <v>483</v>
      </c>
      <c r="X37" s="16" t="s">
        <v>179</v>
      </c>
      <c r="Y37" s="16">
        <v>39</v>
      </c>
      <c r="Z37" s="16">
        <v>25</v>
      </c>
      <c r="AA37" s="16">
        <v>27</v>
      </c>
      <c r="AB37" s="16">
        <v>26</v>
      </c>
      <c r="AC37" s="16">
        <v>117</v>
      </c>
      <c r="AD37" s="16"/>
      <c r="AE37" s="16"/>
      <c r="AF37" s="16"/>
      <c r="AG37" s="16"/>
      <c r="AH37" s="16"/>
      <c r="AI37" s="16"/>
      <c r="AJ37" s="16"/>
      <c r="AK37" s="16"/>
      <c r="AL37" s="16" t="s">
        <v>253</v>
      </c>
      <c r="AM37" s="16" t="s">
        <v>172</v>
      </c>
      <c r="AN37" s="16" t="s">
        <v>484</v>
      </c>
      <c r="AO37" s="16">
        <v>0.22289999999999999</v>
      </c>
      <c r="AP37" s="16">
        <v>4.2299999999999997E-2</v>
      </c>
      <c r="AQ37" s="16" t="s">
        <v>485</v>
      </c>
      <c r="AR37" s="16">
        <v>1.5022</v>
      </c>
      <c r="AS37" s="16">
        <v>0.1411</v>
      </c>
      <c r="AT37" s="17" t="s">
        <v>486</v>
      </c>
      <c r="AU37" s="16" t="s">
        <v>18</v>
      </c>
      <c r="AV37" s="8" t="s">
        <v>9</v>
      </c>
    </row>
    <row r="38" spans="1:48">
      <c r="A38" s="16" t="s">
        <v>150</v>
      </c>
      <c r="B38" s="17" t="s">
        <v>487</v>
      </c>
      <c r="C38" s="18" t="s">
        <v>470</v>
      </c>
      <c r="D38" s="18">
        <v>2025</v>
      </c>
      <c r="E38" s="18" t="s">
        <v>471</v>
      </c>
      <c r="F38" s="19" t="s">
        <v>154</v>
      </c>
      <c r="G38" s="16" t="s">
        <v>155</v>
      </c>
      <c r="H38" s="16" t="s">
        <v>184</v>
      </c>
      <c r="I38" s="16" t="s">
        <v>157</v>
      </c>
      <c r="J38" s="16" t="s">
        <v>158</v>
      </c>
      <c r="K38" s="16" t="s">
        <v>206</v>
      </c>
      <c r="L38" s="16" t="s">
        <v>309</v>
      </c>
      <c r="M38" s="16" t="s">
        <v>161</v>
      </c>
      <c r="N38" s="16" t="s">
        <v>488</v>
      </c>
      <c r="O38" s="16" t="s">
        <v>163</v>
      </c>
      <c r="P38" s="16" t="s">
        <v>18</v>
      </c>
      <c r="Q38" s="16" t="s">
        <v>164</v>
      </c>
      <c r="R38" s="16" t="s">
        <v>165</v>
      </c>
      <c r="S38" s="16" t="s">
        <v>489</v>
      </c>
      <c r="T38" s="16" t="s">
        <v>474</v>
      </c>
      <c r="U38" s="16" t="s">
        <v>196</v>
      </c>
      <c r="V38" s="16" t="s">
        <v>490</v>
      </c>
      <c r="W38" s="16" t="s">
        <v>491</v>
      </c>
      <c r="X38" s="16" t="s">
        <v>179</v>
      </c>
      <c r="Y38" s="16">
        <v>27</v>
      </c>
      <c r="Z38" s="16">
        <v>17</v>
      </c>
      <c r="AA38" s="16">
        <v>20</v>
      </c>
      <c r="AB38" s="16">
        <v>21</v>
      </c>
      <c r="AC38" s="16">
        <v>85</v>
      </c>
      <c r="AD38" s="16"/>
      <c r="AE38" s="16"/>
      <c r="AF38" s="16"/>
      <c r="AG38" s="16"/>
      <c r="AH38" s="16"/>
      <c r="AI38" s="16"/>
      <c r="AJ38" s="16"/>
      <c r="AK38" s="16"/>
      <c r="AL38" s="16" t="s">
        <v>253</v>
      </c>
      <c r="AM38" s="16" t="s">
        <v>172</v>
      </c>
      <c r="AN38" s="16" t="s">
        <v>492</v>
      </c>
      <c r="AO38" s="16">
        <v>0.27939999999999998</v>
      </c>
      <c r="AP38" s="16">
        <v>5.7799999999999997E-2</v>
      </c>
      <c r="AQ38" s="16" t="s">
        <v>493</v>
      </c>
      <c r="AR38" s="16">
        <v>1.6676</v>
      </c>
      <c r="AS38" s="16">
        <v>0.19350000000000001</v>
      </c>
      <c r="AT38" s="17" t="s">
        <v>494</v>
      </c>
      <c r="AU38" s="16" t="s">
        <v>18</v>
      </c>
      <c r="AV38" s="8" t="s">
        <v>9</v>
      </c>
    </row>
    <row r="39" spans="1:48">
      <c r="A39" s="16" t="s">
        <v>150</v>
      </c>
      <c r="B39" s="17" t="s">
        <v>495</v>
      </c>
      <c r="C39" s="18" t="s">
        <v>470</v>
      </c>
      <c r="D39" s="18">
        <v>2025</v>
      </c>
      <c r="E39" s="18" t="s">
        <v>471</v>
      </c>
      <c r="F39" s="19" t="s">
        <v>154</v>
      </c>
      <c r="G39" s="16" t="s">
        <v>155</v>
      </c>
      <c r="H39" s="16" t="s">
        <v>376</v>
      </c>
      <c r="I39" s="16" t="s">
        <v>157</v>
      </c>
      <c r="J39" s="16" t="s">
        <v>158</v>
      </c>
      <c r="K39" s="16" t="s">
        <v>206</v>
      </c>
      <c r="L39" s="16" t="s">
        <v>309</v>
      </c>
      <c r="M39" s="16" t="s">
        <v>161</v>
      </c>
      <c r="N39" s="16" t="s">
        <v>488</v>
      </c>
      <c r="O39" s="16" t="s">
        <v>163</v>
      </c>
      <c r="P39" s="16" t="s">
        <v>18</v>
      </c>
      <c r="Q39" s="16" t="s">
        <v>164</v>
      </c>
      <c r="R39" s="16" t="s">
        <v>165</v>
      </c>
      <c r="S39" s="16" t="s">
        <v>496</v>
      </c>
      <c r="T39" s="16" t="s">
        <v>474</v>
      </c>
      <c r="U39" s="16" t="s">
        <v>196</v>
      </c>
      <c r="V39" s="16" t="s">
        <v>497</v>
      </c>
      <c r="W39" s="16" t="s">
        <v>498</v>
      </c>
      <c r="X39" s="16" t="s">
        <v>179</v>
      </c>
      <c r="Y39" s="16">
        <v>32</v>
      </c>
      <c r="Z39" s="16">
        <v>19</v>
      </c>
      <c r="AA39" s="16">
        <v>33</v>
      </c>
      <c r="AB39" s="16">
        <v>33</v>
      </c>
      <c r="AC39" s="16">
        <v>117</v>
      </c>
      <c r="AD39" s="16"/>
      <c r="AE39" s="16"/>
      <c r="AF39" s="16"/>
      <c r="AG39" s="16"/>
      <c r="AH39" s="16"/>
      <c r="AI39" s="16"/>
      <c r="AJ39" s="16"/>
      <c r="AK39" s="16"/>
      <c r="AL39" s="16" t="s">
        <v>253</v>
      </c>
      <c r="AM39" s="16" t="s">
        <v>172</v>
      </c>
      <c r="AN39" s="16" t="s">
        <v>499</v>
      </c>
      <c r="AO39" s="16">
        <v>0.28549999999999998</v>
      </c>
      <c r="AP39" s="16">
        <v>4.3400000000000001E-2</v>
      </c>
      <c r="AQ39" s="16" t="s">
        <v>500</v>
      </c>
      <c r="AR39" s="16">
        <v>1.6841999999999999</v>
      </c>
      <c r="AS39" s="16">
        <v>0.14449999999999999</v>
      </c>
      <c r="AT39" s="17" t="s">
        <v>501</v>
      </c>
      <c r="AU39" s="16" t="s">
        <v>18</v>
      </c>
      <c r="AV39" s="8" t="s">
        <v>9</v>
      </c>
    </row>
    <row r="40" spans="1:48">
      <c r="A40" s="16" t="s">
        <v>150</v>
      </c>
      <c r="B40" s="17" t="s">
        <v>502</v>
      </c>
      <c r="C40" s="18" t="s">
        <v>470</v>
      </c>
      <c r="D40" s="18">
        <v>2025</v>
      </c>
      <c r="E40" s="18" t="s">
        <v>471</v>
      </c>
      <c r="F40" s="19" t="s">
        <v>154</v>
      </c>
      <c r="G40" s="16" t="s">
        <v>155</v>
      </c>
      <c r="H40" s="16" t="s">
        <v>382</v>
      </c>
      <c r="I40" s="16" t="s">
        <v>157</v>
      </c>
      <c r="J40" s="16" t="s">
        <v>158</v>
      </c>
      <c r="K40" s="16" t="s">
        <v>206</v>
      </c>
      <c r="L40" s="16" t="s">
        <v>160</v>
      </c>
      <c r="M40" s="16" t="s">
        <v>161</v>
      </c>
      <c r="N40" s="16" t="s">
        <v>503</v>
      </c>
      <c r="O40" s="16" t="s">
        <v>163</v>
      </c>
      <c r="P40" s="16" t="s">
        <v>18</v>
      </c>
      <c r="Q40" s="16" t="s">
        <v>164</v>
      </c>
      <c r="R40" s="16" t="s">
        <v>165</v>
      </c>
      <c r="S40" s="16" t="s">
        <v>504</v>
      </c>
      <c r="T40" s="16" t="s">
        <v>505</v>
      </c>
      <c r="U40" s="16" t="s">
        <v>196</v>
      </c>
      <c r="V40" s="16" t="s">
        <v>506</v>
      </c>
      <c r="W40" s="16" t="s">
        <v>507</v>
      </c>
      <c r="X40" s="16" t="s">
        <v>170</v>
      </c>
      <c r="Y40" s="16">
        <v>21</v>
      </c>
      <c r="Z40" s="16">
        <v>22</v>
      </c>
      <c r="AA40" s="16">
        <v>21.5</v>
      </c>
      <c r="AB40" s="16">
        <v>21.5</v>
      </c>
      <c r="AC40" s="16">
        <v>43</v>
      </c>
      <c r="AD40" s="16"/>
      <c r="AE40" s="16"/>
      <c r="AF40" s="16"/>
      <c r="AG40" s="16"/>
      <c r="AH40" s="16"/>
      <c r="AI40" s="16"/>
      <c r="AJ40" s="16"/>
      <c r="AK40" s="16"/>
      <c r="AL40" s="16" t="s">
        <v>253</v>
      </c>
      <c r="AM40" s="16" t="s">
        <v>172</v>
      </c>
      <c r="AN40" s="16" t="s">
        <v>508</v>
      </c>
      <c r="AO40" s="16">
        <v>-2.52E-2</v>
      </c>
      <c r="AP40" s="16">
        <v>5.4600000000000003E-2</v>
      </c>
      <c r="AQ40" s="16" t="s">
        <v>509</v>
      </c>
      <c r="AR40" s="16">
        <v>0.95450000000000002</v>
      </c>
      <c r="AS40" s="16">
        <v>0.18609999999999999</v>
      </c>
      <c r="AT40" s="17" t="s">
        <v>510</v>
      </c>
      <c r="AU40" s="16" t="s">
        <v>18</v>
      </c>
      <c r="AV40" s="8" t="s">
        <v>9</v>
      </c>
    </row>
    <row r="41" spans="1:48">
      <c r="A41" s="16" t="s">
        <v>150</v>
      </c>
      <c r="B41" s="17" t="s">
        <v>511</v>
      </c>
      <c r="C41" s="18" t="s">
        <v>512</v>
      </c>
      <c r="D41" s="18">
        <v>2013</v>
      </c>
      <c r="E41" s="18" t="s">
        <v>513</v>
      </c>
      <c r="F41" s="19" t="s">
        <v>514</v>
      </c>
      <c r="G41" s="16" t="s">
        <v>155</v>
      </c>
      <c r="H41" s="16" t="s">
        <v>156</v>
      </c>
      <c r="I41" s="16" t="s">
        <v>205</v>
      </c>
      <c r="J41" s="16" t="s">
        <v>158</v>
      </c>
      <c r="K41" s="16" t="s">
        <v>206</v>
      </c>
      <c r="L41" s="16" t="s">
        <v>207</v>
      </c>
      <c r="M41" s="16" t="s">
        <v>208</v>
      </c>
      <c r="N41" s="16" t="s">
        <v>515</v>
      </c>
      <c r="O41" s="16" t="s">
        <v>163</v>
      </c>
      <c r="P41" s="16" t="s">
        <v>9</v>
      </c>
      <c r="Q41" s="16" t="s">
        <v>164</v>
      </c>
      <c r="R41" s="16" t="s">
        <v>274</v>
      </c>
      <c r="S41" s="16" t="s">
        <v>516</v>
      </c>
      <c r="T41" s="16" t="s">
        <v>517</v>
      </c>
      <c r="U41" s="16">
        <v>10.039999999999999</v>
      </c>
      <c r="V41" s="16" t="s">
        <v>518</v>
      </c>
      <c r="W41" s="16" t="s">
        <v>519</v>
      </c>
      <c r="X41" s="16" t="s">
        <v>179</v>
      </c>
      <c r="Y41" s="16">
        <v>10</v>
      </c>
      <c r="Z41" s="16">
        <v>5</v>
      </c>
      <c r="AA41" s="16">
        <v>7.5</v>
      </c>
      <c r="AB41" s="16">
        <v>7.5</v>
      </c>
      <c r="AC41" s="16">
        <v>30</v>
      </c>
      <c r="AD41" s="16"/>
      <c r="AE41" s="16"/>
      <c r="AF41" s="16"/>
      <c r="AG41" s="16"/>
      <c r="AH41" s="16"/>
      <c r="AI41" s="16"/>
      <c r="AJ41" s="16"/>
      <c r="AK41" s="16"/>
      <c r="AL41" s="16" t="s">
        <v>171</v>
      </c>
      <c r="AM41" s="16" t="s">
        <v>172</v>
      </c>
      <c r="AN41" s="17"/>
      <c r="AO41" s="17">
        <v>0.37219999999999998</v>
      </c>
      <c r="AP41" s="17">
        <v>0.16339999999999999</v>
      </c>
      <c r="AQ41" s="17" t="s">
        <v>520</v>
      </c>
      <c r="AR41" s="17">
        <v>2</v>
      </c>
      <c r="AS41" s="17">
        <v>0.56669999999999998</v>
      </c>
      <c r="AT41" s="17" t="s">
        <v>521</v>
      </c>
      <c r="AU41" s="16" t="s">
        <v>18</v>
      </c>
      <c r="AV41" s="8" t="s">
        <v>9</v>
      </c>
    </row>
    <row r="42" spans="1:48">
      <c r="A42" s="16" t="s">
        <v>150</v>
      </c>
      <c r="B42" s="17" t="s">
        <v>522</v>
      </c>
      <c r="C42" s="18" t="s">
        <v>512</v>
      </c>
      <c r="D42" s="18">
        <v>2013</v>
      </c>
      <c r="E42" s="18" t="s">
        <v>513</v>
      </c>
      <c r="F42" s="19" t="s">
        <v>514</v>
      </c>
      <c r="G42" s="16" t="s">
        <v>155</v>
      </c>
      <c r="H42" s="16" t="s">
        <v>177</v>
      </c>
      <c r="I42" s="16" t="s">
        <v>205</v>
      </c>
      <c r="J42" s="16" t="s">
        <v>158</v>
      </c>
      <c r="K42" s="16" t="s">
        <v>206</v>
      </c>
      <c r="L42" s="16" t="s">
        <v>207</v>
      </c>
      <c r="M42" s="16" t="s">
        <v>208</v>
      </c>
      <c r="N42" s="16" t="s">
        <v>515</v>
      </c>
      <c r="O42" s="16" t="s">
        <v>210</v>
      </c>
      <c r="P42" s="16" t="s">
        <v>9</v>
      </c>
      <c r="Q42" s="16" t="s">
        <v>164</v>
      </c>
      <c r="R42" s="16" t="s">
        <v>274</v>
      </c>
      <c r="S42" s="16" t="s">
        <v>523</v>
      </c>
      <c r="T42" s="16" t="s">
        <v>517</v>
      </c>
      <c r="U42" s="16">
        <v>6.9050000000000002</v>
      </c>
      <c r="V42" s="16" t="s">
        <v>524</v>
      </c>
      <c r="W42" s="16" t="s">
        <v>525</v>
      </c>
      <c r="X42" s="16" t="s">
        <v>179</v>
      </c>
      <c r="Y42" s="16">
        <v>10</v>
      </c>
      <c r="Z42" s="16">
        <v>5</v>
      </c>
      <c r="AA42" s="16">
        <v>7.5</v>
      </c>
      <c r="AB42" s="16">
        <v>7.5</v>
      </c>
      <c r="AC42" s="16">
        <v>30</v>
      </c>
      <c r="AD42" s="16"/>
      <c r="AE42" s="16"/>
      <c r="AF42" s="16"/>
      <c r="AG42" s="16"/>
      <c r="AH42" s="16"/>
      <c r="AI42" s="16"/>
      <c r="AJ42" s="16"/>
      <c r="AK42" s="16"/>
      <c r="AL42" s="16" t="s">
        <v>171</v>
      </c>
      <c r="AM42" s="16" t="s">
        <v>172</v>
      </c>
      <c r="AN42" s="17"/>
      <c r="AO42" s="17">
        <v>0.37219999999999998</v>
      </c>
      <c r="AP42" s="17">
        <v>0.16339999999999999</v>
      </c>
      <c r="AQ42" s="17" t="s">
        <v>520</v>
      </c>
      <c r="AR42" s="17">
        <v>2</v>
      </c>
      <c r="AS42" s="17">
        <v>0.56669999999999998</v>
      </c>
      <c r="AT42" s="17" t="s">
        <v>521</v>
      </c>
      <c r="AU42" s="16" t="s">
        <v>18</v>
      </c>
      <c r="AV42" s="8" t="s">
        <v>9</v>
      </c>
    </row>
    <row r="43" spans="1:48">
      <c r="A43" s="16" t="s">
        <v>150</v>
      </c>
      <c r="B43" s="17" t="s">
        <v>526</v>
      </c>
      <c r="C43" s="18" t="s">
        <v>512</v>
      </c>
      <c r="D43" s="18">
        <v>2013</v>
      </c>
      <c r="E43" s="18" t="s">
        <v>513</v>
      </c>
      <c r="F43" s="19" t="s">
        <v>527</v>
      </c>
      <c r="G43" s="16" t="s">
        <v>155</v>
      </c>
      <c r="H43" s="16" t="s">
        <v>184</v>
      </c>
      <c r="I43" s="16" t="s">
        <v>205</v>
      </c>
      <c r="J43" s="16" t="s">
        <v>158</v>
      </c>
      <c r="K43" s="16" t="s">
        <v>206</v>
      </c>
      <c r="L43" s="16" t="s">
        <v>207</v>
      </c>
      <c r="M43" s="16" t="s">
        <v>208</v>
      </c>
      <c r="N43" s="16" t="s">
        <v>515</v>
      </c>
      <c r="O43" s="16" t="s">
        <v>163</v>
      </c>
      <c r="P43" s="16" t="s">
        <v>9</v>
      </c>
      <c r="Q43" s="16" t="s">
        <v>164</v>
      </c>
      <c r="R43" s="16" t="s">
        <v>274</v>
      </c>
      <c r="S43" s="16" t="s">
        <v>528</v>
      </c>
      <c r="T43" s="16" t="s">
        <v>517</v>
      </c>
      <c r="U43" s="16">
        <v>0.1845</v>
      </c>
      <c r="V43" s="16" t="s">
        <v>529</v>
      </c>
      <c r="W43" s="16" t="s">
        <v>530</v>
      </c>
      <c r="X43" s="16" t="s">
        <v>170</v>
      </c>
      <c r="Y43" s="16">
        <v>7</v>
      </c>
      <c r="Z43" s="16">
        <v>8</v>
      </c>
      <c r="AA43" s="16">
        <v>7.5</v>
      </c>
      <c r="AB43" s="16">
        <v>7.5</v>
      </c>
      <c r="AC43" s="16">
        <v>30</v>
      </c>
      <c r="AD43" s="16"/>
      <c r="AE43" s="16"/>
      <c r="AF43" s="16"/>
      <c r="AG43" s="16"/>
      <c r="AH43" s="16"/>
      <c r="AI43" s="16"/>
      <c r="AJ43" s="16"/>
      <c r="AK43" s="16"/>
      <c r="AL43" s="16" t="s">
        <v>171</v>
      </c>
      <c r="AM43" s="16" t="s">
        <v>172</v>
      </c>
      <c r="AN43" s="17"/>
      <c r="AO43" s="17">
        <v>-7.17E-2</v>
      </c>
      <c r="AP43" s="17">
        <v>0.15409999999999999</v>
      </c>
      <c r="AQ43" s="17" t="s">
        <v>531</v>
      </c>
      <c r="AR43" s="17">
        <v>0.875</v>
      </c>
      <c r="AS43" s="17">
        <v>0.53449999999999998</v>
      </c>
      <c r="AT43" s="17" t="s">
        <v>532</v>
      </c>
      <c r="AU43" s="16" t="s">
        <v>18</v>
      </c>
      <c r="AV43" s="8" t="s">
        <v>9</v>
      </c>
    </row>
    <row r="44" spans="1:48">
      <c r="A44" s="16" t="s">
        <v>150</v>
      </c>
      <c r="B44" s="17" t="s">
        <v>533</v>
      </c>
      <c r="C44" s="18" t="s">
        <v>512</v>
      </c>
      <c r="D44" s="18">
        <v>2013</v>
      </c>
      <c r="E44" s="18" t="s">
        <v>513</v>
      </c>
      <c r="F44" s="19" t="s">
        <v>527</v>
      </c>
      <c r="G44" s="16" t="s">
        <v>155</v>
      </c>
      <c r="H44" s="16" t="s">
        <v>376</v>
      </c>
      <c r="I44" s="16" t="s">
        <v>205</v>
      </c>
      <c r="J44" s="16" t="s">
        <v>158</v>
      </c>
      <c r="K44" s="16" t="s">
        <v>206</v>
      </c>
      <c r="L44" s="16" t="s">
        <v>207</v>
      </c>
      <c r="M44" s="16" t="s">
        <v>208</v>
      </c>
      <c r="N44" s="16" t="s">
        <v>515</v>
      </c>
      <c r="O44" s="16" t="s">
        <v>210</v>
      </c>
      <c r="P44" s="16" t="s">
        <v>9</v>
      </c>
      <c r="Q44" s="16" t="s">
        <v>164</v>
      </c>
      <c r="R44" s="16" t="s">
        <v>274</v>
      </c>
      <c r="S44" s="16" t="s">
        <v>534</v>
      </c>
      <c r="T44" s="16" t="s">
        <v>517</v>
      </c>
      <c r="U44" s="16">
        <v>6.59</v>
      </c>
      <c r="V44" s="16" t="s">
        <v>535</v>
      </c>
      <c r="W44" s="16" t="s">
        <v>536</v>
      </c>
      <c r="X44" s="16" t="s">
        <v>179</v>
      </c>
      <c r="Y44" s="16">
        <v>13</v>
      </c>
      <c r="Z44" s="16">
        <v>2</v>
      </c>
      <c r="AA44" s="16">
        <v>7.5</v>
      </c>
      <c r="AB44" s="16">
        <v>7.5</v>
      </c>
      <c r="AC44" s="16">
        <v>30</v>
      </c>
      <c r="AD44" s="16"/>
      <c r="AE44" s="16"/>
      <c r="AF44" s="16"/>
      <c r="AG44" s="16"/>
      <c r="AH44" s="16"/>
      <c r="AI44" s="16"/>
      <c r="AJ44" s="16"/>
      <c r="AK44" s="16"/>
      <c r="AL44" s="16" t="s">
        <v>171</v>
      </c>
      <c r="AM44" s="16" t="s">
        <v>172</v>
      </c>
      <c r="AN44" s="17"/>
      <c r="AO44" s="17">
        <v>1.0051000000000001</v>
      </c>
      <c r="AP44" s="17">
        <v>0.2432</v>
      </c>
      <c r="AQ44" s="17" t="s">
        <v>537</v>
      </c>
      <c r="AR44" s="17">
        <v>6.5</v>
      </c>
      <c r="AS44" s="17">
        <v>0.84360000000000002</v>
      </c>
      <c r="AT44" s="17" t="s">
        <v>538</v>
      </c>
      <c r="AU44" s="16" t="s">
        <v>18</v>
      </c>
      <c r="AV44" s="8" t="s">
        <v>9</v>
      </c>
    </row>
    <row r="45" spans="1:48">
      <c r="A45" s="16" t="s">
        <v>150</v>
      </c>
      <c r="B45" s="17" t="s">
        <v>539</v>
      </c>
      <c r="C45" s="18" t="s">
        <v>540</v>
      </c>
      <c r="D45" s="18">
        <v>2022</v>
      </c>
      <c r="E45" s="18" t="s">
        <v>541</v>
      </c>
      <c r="F45" s="19" t="s">
        <v>154</v>
      </c>
      <c r="G45" s="16" t="s">
        <v>155</v>
      </c>
      <c r="H45" s="16" t="s">
        <v>156</v>
      </c>
      <c r="I45" s="16" t="s">
        <v>157</v>
      </c>
      <c r="J45" s="16" t="s">
        <v>158</v>
      </c>
      <c r="K45" s="16" t="s">
        <v>159</v>
      </c>
      <c r="L45" s="16" t="s">
        <v>160</v>
      </c>
      <c r="M45" s="16" t="s">
        <v>161</v>
      </c>
      <c r="N45" s="16" t="s">
        <v>542</v>
      </c>
      <c r="O45" s="16" t="s">
        <v>163</v>
      </c>
      <c r="P45" s="16" t="s">
        <v>18</v>
      </c>
      <c r="Q45" s="16" t="s">
        <v>164</v>
      </c>
      <c r="R45" s="16" t="s">
        <v>165</v>
      </c>
      <c r="S45" s="16" t="s">
        <v>543</v>
      </c>
      <c r="T45" s="16" t="s">
        <v>544</v>
      </c>
      <c r="U45" s="16">
        <v>0.68</v>
      </c>
      <c r="V45" s="16" t="s">
        <v>545</v>
      </c>
      <c r="W45" s="16" t="s">
        <v>546</v>
      </c>
      <c r="X45" s="16" t="s">
        <v>179</v>
      </c>
      <c r="Y45" s="16">
        <v>44</v>
      </c>
      <c r="Z45" s="16">
        <v>21</v>
      </c>
      <c r="AA45" s="16">
        <v>32.5</v>
      </c>
      <c r="AB45" s="16">
        <v>32.5</v>
      </c>
      <c r="AC45" s="16">
        <v>65</v>
      </c>
      <c r="AD45" s="16"/>
      <c r="AE45" s="16"/>
      <c r="AF45" s="16"/>
      <c r="AG45" s="16"/>
      <c r="AH45" s="16"/>
      <c r="AI45" s="16"/>
      <c r="AJ45" s="16"/>
      <c r="AK45" s="16"/>
      <c r="AL45" s="16" t="s">
        <v>171</v>
      </c>
      <c r="AM45" s="16" t="s">
        <v>172</v>
      </c>
      <c r="AN45" s="16" t="s">
        <v>547</v>
      </c>
      <c r="AO45" s="17">
        <v>0.40300000000000002</v>
      </c>
      <c r="AP45" s="17">
        <v>3.9199999999999999E-2</v>
      </c>
      <c r="AQ45" s="17" t="s">
        <v>548</v>
      </c>
      <c r="AR45" s="17">
        <v>2.0952000000000002</v>
      </c>
      <c r="AS45" s="17">
        <v>0.13189999999999999</v>
      </c>
      <c r="AT45" s="17" t="s">
        <v>549</v>
      </c>
      <c r="AU45" s="16" t="s">
        <v>18</v>
      </c>
      <c r="AV45" s="8" t="s">
        <v>9</v>
      </c>
    </row>
    <row r="46" spans="1:48">
      <c r="A46" s="16" t="s">
        <v>150</v>
      </c>
      <c r="B46" s="17" t="s">
        <v>550</v>
      </c>
      <c r="C46" s="18" t="s">
        <v>540</v>
      </c>
      <c r="D46" s="18">
        <v>2022</v>
      </c>
      <c r="E46" s="18" t="s">
        <v>541</v>
      </c>
      <c r="F46" s="19" t="s">
        <v>154</v>
      </c>
      <c r="G46" s="16" t="s">
        <v>155</v>
      </c>
      <c r="H46" s="16" t="s">
        <v>177</v>
      </c>
      <c r="I46" s="16" t="s">
        <v>157</v>
      </c>
      <c r="J46" s="16" t="s">
        <v>158</v>
      </c>
      <c r="K46" s="16" t="s">
        <v>159</v>
      </c>
      <c r="L46" s="16" t="s">
        <v>160</v>
      </c>
      <c r="M46" s="16" t="s">
        <v>161</v>
      </c>
      <c r="N46" s="16" t="s">
        <v>551</v>
      </c>
      <c r="O46" s="16" t="s">
        <v>163</v>
      </c>
      <c r="P46" s="16" t="s">
        <v>18</v>
      </c>
      <c r="Q46" s="16" t="s">
        <v>164</v>
      </c>
      <c r="R46" s="16" t="s">
        <v>165</v>
      </c>
      <c r="S46" s="16" t="s">
        <v>552</v>
      </c>
      <c r="T46" s="16" t="s">
        <v>544</v>
      </c>
      <c r="U46" s="16">
        <v>0.43</v>
      </c>
      <c r="V46" s="16" t="s">
        <v>553</v>
      </c>
      <c r="W46" s="16" t="s">
        <v>554</v>
      </c>
      <c r="X46" s="16" t="s">
        <v>170</v>
      </c>
      <c r="Y46" s="16">
        <v>28</v>
      </c>
      <c r="Z46" s="16">
        <v>38</v>
      </c>
      <c r="AA46" s="16">
        <v>33</v>
      </c>
      <c r="AB46" s="16">
        <v>33</v>
      </c>
      <c r="AC46" s="16">
        <v>66</v>
      </c>
      <c r="AD46" s="16"/>
      <c r="AE46" s="16"/>
      <c r="AF46" s="16"/>
      <c r="AG46" s="16"/>
      <c r="AH46" s="16"/>
      <c r="AI46" s="16"/>
      <c r="AJ46" s="16"/>
      <c r="AK46" s="16"/>
      <c r="AL46" s="16" t="s">
        <v>171</v>
      </c>
      <c r="AM46" s="16" t="s">
        <v>172</v>
      </c>
      <c r="AN46" s="16" t="s">
        <v>555</v>
      </c>
      <c r="AO46" s="17">
        <v>-0.16639999999999999</v>
      </c>
      <c r="AP46" s="17">
        <v>3.6400000000000002E-2</v>
      </c>
      <c r="AQ46" s="17" t="s">
        <v>556</v>
      </c>
      <c r="AR46" s="17">
        <v>0.73680000000000001</v>
      </c>
      <c r="AS46" s="17">
        <v>0.1226</v>
      </c>
      <c r="AT46" s="17" t="s">
        <v>557</v>
      </c>
      <c r="AU46" s="16" t="s">
        <v>18</v>
      </c>
      <c r="AV46" s="8" t="s">
        <v>9</v>
      </c>
    </row>
    <row r="47" spans="1:48">
      <c r="A47" s="16" t="s">
        <v>150</v>
      </c>
      <c r="B47" s="17" t="s">
        <v>558</v>
      </c>
      <c r="C47" s="18" t="s">
        <v>540</v>
      </c>
      <c r="D47" s="18">
        <v>2022</v>
      </c>
      <c r="E47" s="18" t="s">
        <v>541</v>
      </c>
      <c r="F47" s="19" t="s">
        <v>154</v>
      </c>
      <c r="G47" s="16" t="s">
        <v>155</v>
      </c>
      <c r="H47" s="16" t="s">
        <v>184</v>
      </c>
      <c r="I47" s="16" t="s">
        <v>157</v>
      </c>
      <c r="J47" s="16" t="s">
        <v>158</v>
      </c>
      <c r="K47" s="16" t="s">
        <v>159</v>
      </c>
      <c r="L47" s="16" t="s">
        <v>160</v>
      </c>
      <c r="M47" s="16" t="s">
        <v>161</v>
      </c>
      <c r="N47" s="16" t="s">
        <v>559</v>
      </c>
      <c r="O47" s="16" t="s">
        <v>163</v>
      </c>
      <c r="P47" s="16" t="s">
        <v>18</v>
      </c>
      <c r="Q47" s="16" t="s">
        <v>164</v>
      </c>
      <c r="R47" s="16" t="s">
        <v>165</v>
      </c>
      <c r="S47" s="16" t="s">
        <v>560</v>
      </c>
      <c r="T47" s="16" t="s">
        <v>544</v>
      </c>
      <c r="U47" s="16">
        <v>0.76</v>
      </c>
      <c r="V47" s="16" t="s">
        <v>561</v>
      </c>
      <c r="W47" s="16" t="s">
        <v>562</v>
      </c>
      <c r="X47" s="16" t="s">
        <v>179</v>
      </c>
      <c r="Y47" s="16">
        <v>49</v>
      </c>
      <c r="Z47" s="16">
        <v>16</v>
      </c>
      <c r="AA47" s="16">
        <v>32.5</v>
      </c>
      <c r="AB47" s="16">
        <v>32.5</v>
      </c>
      <c r="AC47" s="16">
        <v>65</v>
      </c>
      <c r="AD47" s="16"/>
      <c r="AE47" s="16"/>
      <c r="AF47" s="16"/>
      <c r="AG47" s="16"/>
      <c r="AH47" s="16"/>
      <c r="AI47" s="16"/>
      <c r="AJ47" s="16"/>
      <c r="AK47" s="16"/>
      <c r="AL47" s="16" t="s">
        <v>171</v>
      </c>
      <c r="AM47" s="16" t="s">
        <v>172</v>
      </c>
      <c r="AN47" s="16" t="s">
        <v>563</v>
      </c>
      <c r="AO47" s="17">
        <v>0.60980000000000001</v>
      </c>
      <c r="AP47" s="17">
        <v>4.2900000000000001E-2</v>
      </c>
      <c r="AQ47" s="17" t="s">
        <v>564</v>
      </c>
      <c r="AR47" s="17">
        <v>3.0625</v>
      </c>
      <c r="AS47" s="17">
        <v>0.1444</v>
      </c>
      <c r="AT47" s="17" t="s">
        <v>565</v>
      </c>
      <c r="AU47" s="16" t="s">
        <v>18</v>
      </c>
      <c r="AV47" s="8" t="s">
        <v>9</v>
      </c>
    </row>
    <row r="48" spans="1:48">
      <c r="A48" s="16" t="s">
        <v>150</v>
      </c>
      <c r="B48" s="17" t="s">
        <v>566</v>
      </c>
      <c r="C48" s="28" t="s">
        <v>567</v>
      </c>
      <c r="D48" s="18">
        <v>2022</v>
      </c>
      <c r="E48" s="18" t="s">
        <v>568</v>
      </c>
      <c r="F48" s="19" t="s">
        <v>569</v>
      </c>
      <c r="G48" s="16" t="s">
        <v>155</v>
      </c>
      <c r="H48" s="16" t="s">
        <v>156</v>
      </c>
      <c r="I48" s="16" t="s">
        <v>205</v>
      </c>
      <c r="J48" s="16" t="s">
        <v>158</v>
      </c>
      <c r="K48" s="16" t="s">
        <v>159</v>
      </c>
      <c r="L48" s="16" t="s">
        <v>207</v>
      </c>
      <c r="M48" s="16" t="s">
        <v>208</v>
      </c>
      <c r="N48" s="16" t="s">
        <v>570</v>
      </c>
      <c r="O48" s="16" t="s">
        <v>163</v>
      </c>
      <c r="P48" s="16" t="s">
        <v>9</v>
      </c>
      <c r="Q48" s="16" t="s">
        <v>164</v>
      </c>
      <c r="R48" s="16" t="s">
        <v>274</v>
      </c>
      <c r="S48" s="16" t="s">
        <v>571</v>
      </c>
      <c r="T48" s="16" t="s">
        <v>572</v>
      </c>
      <c r="U48" s="16">
        <v>7.6920000000000002</v>
      </c>
      <c r="V48" s="16" t="s">
        <v>573</v>
      </c>
      <c r="W48" s="16" t="s">
        <v>574</v>
      </c>
      <c r="X48" s="16" t="s">
        <v>179</v>
      </c>
      <c r="Y48" s="16" t="s">
        <v>196</v>
      </c>
      <c r="Z48" s="16" t="s">
        <v>196</v>
      </c>
      <c r="AA48" s="16" t="s">
        <v>196</v>
      </c>
      <c r="AB48" s="16" t="s">
        <v>196</v>
      </c>
      <c r="AC48" s="16" t="s">
        <v>196</v>
      </c>
      <c r="AD48" s="16"/>
      <c r="AE48" s="16"/>
      <c r="AF48" s="16"/>
      <c r="AG48" s="16"/>
      <c r="AH48" s="16"/>
      <c r="AI48" s="16"/>
      <c r="AJ48" s="16"/>
      <c r="AK48" s="16"/>
      <c r="AL48" s="16" t="s">
        <v>236</v>
      </c>
      <c r="AM48" s="16" t="s">
        <v>303</v>
      </c>
      <c r="AN48" s="16" t="s">
        <v>575</v>
      </c>
      <c r="AO48" s="17"/>
      <c r="AP48" s="17"/>
      <c r="AQ48" s="17"/>
      <c r="AR48" s="17"/>
      <c r="AS48" s="17"/>
      <c r="AT48" s="17"/>
      <c r="AU48" s="16" t="s">
        <v>18</v>
      </c>
      <c r="AV48" s="8" t="s">
        <v>9</v>
      </c>
    </row>
    <row r="49" spans="1:48">
      <c r="A49" s="16" t="s">
        <v>150</v>
      </c>
      <c r="B49" s="17" t="s">
        <v>576</v>
      </c>
      <c r="C49" s="28" t="s">
        <v>567</v>
      </c>
      <c r="D49" s="18">
        <v>2022</v>
      </c>
      <c r="E49" s="18" t="s">
        <v>568</v>
      </c>
      <c r="F49" s="19" t="s">
        <v>569</v>
      </c>
      <c r="G49" s="16" t="s">
        <v>155</v>
      </c>
      <c r="H49" s="16" t="s">
        <v>177</v>
      </c>
      <c r="I49" s="16" t="s">
        <v>205</v>
      </c>
      <c r="J49" s="16" t="s">
        <v>158</v>
      </c>
      <c r="K49" s="16" t="s">
        <v>159</v>
      </c>
      <c r="L49" s="16" t="s">
        <v>207</v>
      </c>
      <c r="M49" s="16" t="s">
        <v>208</v>
      </c>
      <c r="N49" s="16" t="s">
        <v>577</v>
      </c>
      <c r="O49" s="16" t="s">
        <v>163</v>
      </c>
      <c r="P49" s="16" t="s">
        <v>9</v>
      </c>
      <c r="Q49" s="16" t="s">
        <v>164</v>
      </c>
      <c r="R49" s="16" t="s">
        <v>274</v>
      </c>
      <c r="S49" s="16" t="s">
        <v>578</v>
      </c>
      <c r="T49" s="16" t="s">
        <v>572</v>
      </c>
      <c r="U49" s="16">
        <v>1.391</v>
      </c>
      <c r="V49" s="16" t="s">
        <v>579</v>
      </c>
      <c r="W49" s="16" t="s">
        <v>580</v>
      </c>
      <c r="X49" s="16" t="s">
        <v>170</v>
      </c>
      <c r="Y49" s="16" t="s">
        <v>196</v>
      </c>
      <c r="Z49" s="16" t="s">
        <v>196</v>
      </c>
      <c r="AA49" s="16" t="s">
        <v>196</v>
      </c>
      <c r="AB49" s="16" t="s">
        <v>196</v>
      </c>
      <c r="AC49" s="16">
        <v>87</v>
      </c>
      <c r="AD49" s="16"/>
      <c r="AE49" s="16"/>
      <c r="AF49" s="16"/>
      <c r="AG49" s="16"/>
      <c r="AH49" s="16"/>
      <c r="AI49" s="16"/>
      <c r="AJ49" s="16"/>
      <c r="AK49" s="16"/>
      <c r="AL49" s="16" t="s">
        <v>236</v>
      </c>
      <c r="AM49" s="16" t="s">
        <v>303</v>
      </c>
      <c r="AN49" s="16" t="s">
        <v>581</v>
      </c>
      <c r="AO49" s="17"/>
      <c r="AP49" s="17"/>
      <c r="AQ49" s="17"/>
      <c r="AR49" s="17"/>
      <c r="AS49" s="17"/>
      <c r="AT49" s="17"/>
      <c r="AU49" s="16" t="s">
        <v>18</v>
      </c>
      <c r="AV49" s="8" t="s">
        <v>9</v>
      </c>
    </row>
    <row r="50" spans="1:48">
      <c r="A50" s="16" t="s">
        <v>150</v>
      </c>
      <c r="B50" s="17" t="s">
        <v>582</v>
      </c>
      <c r="C50" s="18" t="s">
        <v>583</v>
      </c>
      <c r="D50" s="18">
        <v>2022</v>
      </c>
      <c r="E50" s="18" t="s">
        <v>584</v>
      </c>
      <c r="F50" s="19" t="s">
        <v>154</v>
      </c>
      <c r="G50" s="16" t="s">
        <v>155</v>
      </c>
      <c r="H50" s="16" t="s">
        <v>156</v>
      </c>
      <c r="I50" s="16" t="s">
        <v>157</v>
      </c>
      <c r="J50" s="16" t="s">
        <v>158</v>
      </c>
      <c r="K50" s="16" t="s">
        <v>159</v>
      </c>
      <c r="L50" s="16" t="s">
        <v>160</v>
      </c>
      <c r="M50" s="16" t="s">
        <v>161</v>
      </c>
      <c r="N50" s="16" t="s">
        <v>585</v>
      </c>
      <c r="O50" s="16" t="s">
        <v>163</v>
      </c>
      <c r="P50" s="16" t="s">
        <v>18</v>
      </c>
      <c r="Q50" s="16" t="s">
        <v>164</v>
      </c>
      <c r="R50" s="16" t="s">
        <v>211</v>
      </c>
      <c r="S50" s="16" t="s">
        <v>586</v>
      </c>
      <c r="T50" s="16" t="s">
        <v>587</v>
      </c>
      <c r="U50" s="16">
        <v>0.68</v>
      </c>
      <c r="V50" s="16" t="s">
        <v>588</v>
      </c>
      <c r="W50" s="16" t="s">
        <v>587</v>
      </c>
      <c r="X50" s="16" t="s">
        <v>179</v>
      </c>
      <c r="Y50" s="16">
        <v>49</v>
      </c>
      <c r="Z50" s="16">
        <v>23</v>
      </c>
      <c r="AA50" s="16">
        <v>36</v>
      </c>
      <c r="AB50" s="16">
        <v>36</v>
      </c>
      <c r="AC50" s="16">
        <v>72</v>
      </c>
      <c r="AD50" s="16"/>
      <c r="AE50" s="16"/>
      <c r="AF50" s="16"/>
      <c r="AG50" s="16"/>
      <c r="AH50" s="16"/>
      <c r="AI50" s="16"/>
      <c r="AJ50" s="16"/>
      <c r="AK50" s="16"/>
      <c r="AL50" s="16" t="s">
        <v>171</v>
      </c>
      <c r="AM50" s="16" t="s">
        <v>172</v>
      </c>
      <c r="AN50" s="16" t="s">
        <v>589</v>
      </c>
      <c r="AO50" s="17">
        <v>0.41260000000000002</v>
      </c>
      <c r="AP50" s="17">
        <v>3.5499999999999997E-2</v>
      </c>
      <c r="AQ50" s="17" t="s">
        <v>590</v>
      </c>
      <c r="AR50" s="17">
        <v>2.1303999999999998</v>
      </c>
      <c r="AS50" s="17">
        <v>0.11940000000000001</v>
      </c>
      <c r="AT50" s="17" t="s">
        <v>591</v>
      </c>
      <c r="AU50" s="16" t="s">
        <v>18</v>
      </c>
      <c r="AV50" s="8" t="s">
        <v>9</v>
      </c>
    </row>
    <row r="51" spans="1:48">
      <c r="A51" s="16" t="s">
        <v>150</v>
      </c>
      <c r="B51" s="17" t="s">
        <v>592</v>
      </c>
      <c r="C51" s="18" t="s">
        <v>593</v>
      </c>
      <c r="D51" s="18">
        <v>2023</v>
      </c>
      <c r="E51" s="18" t="s">
        <v>594</v>
      </c>
      <c r="F51" s="19" t="s">
        <v>595</v>
      </c>
      <c r="G51" s="16" t="s">
        <v>155</v>
      </c>
      <c r="H51" s="16" t="s">
        <v>156</v>
      </c>
      <c r="I51" s="16" t="s">
        <v>205</v>
      </c>
      <c r="J51" s="16" t="s">
        <v>158</v>
      </c>
      <c r="K51" s="16" t="s">
        <v>206</v>
      </c>
      <c r="L51" s="16" t="s">
        <v>207</v>
      </c>
      <c r="M51" s="16" t="s">
        <v>208</v>
      </c>
      <c r="N51" s="16" t="s">
        <v>596</v>
      </c>
      <c r="O51" s="16" t="s">
        <v>163</v>
      </c>
      <c r="P51" s="16" t="s">
        <v>9</v>
      </c>
      <c r="Q51" s="16" t="s">
        <v>164</v>
      </c>
      <c r="R51" s="16" t="s">
        <v>274</v>
      </c>
      <c r="S51" s="16" t="s">
        <v>597</v>
      </c>
      <c r="T51" s="16" t="s">
        <v>598</v>
      </c>
      <c r="U51" s="16">
        <v>-0.29699999999999999</v>
      </c>
      <c r="V51" s="16" t="s">
        <v>599</v>
      </c>
      <c r="W51" s="16" t="s">
        <v>600</v>
      </c>
      <c r="X51" s="16" t="s">
        <v>170</v>
      </c>
      <c r="Y51" s="16" t="s">
        <v>196</v>
      </c>
      <c r="Z51" s="16" t="s">
        <v>196</v>
      </c>
      <c r="AA51" s="16" t="s">
        <v>196</v>
      </c>
      <c r="AB51" s="16" t="s">
        <v>196</v>
      </c>
      <c r="AC51" s="16">
        <v>105</v>
      </c>
      <c r="AD51" s="16">
        <v>0.05</v>
      </c>
      <c r="AE51" s="16">
        <v>0.22</v>
      </c>
      <c r="AF51" s="16">
        <v>3.5000000000000003E-2</v>
      </c>
      <c r="AG51" s="16">
        <v>40</v>
      </c>
      <c r="AH51" s="16">
        <v>0.04</v>
      </c>
      <c r="AI51" s="16">
        <v>0.23</v>
      </c>
      <c r="AJ51" s="16">
        <v>2.9000000000000001E-2</v>
      </c>
      <c r="AK51" s="16">
        <v>65</v>
      </c>
      <c r="AL51" s="16" t="s">
        <v>171</v>
      </c>
      <c r="AM51" s="16" t="s">
        <v>216</v>
      </c>
      <c r="AN51" s="16" t="s">
        <v>601</v>
      </c>
      <c r="AO51" s="16">
        <v>-5.9200000000000003E-2</v>
      </c>
      <c r="AP51" s="16">
        <v>4.0399999999999998E-2</v>
      </c>
      <c r="AQ51" s="16" t="s">
        <v>602</v>
      </c>
      <c r="AR51" s="17">
        <v>0.8982</v>
      </c>
      <c r="AS51" s="17">
        <v>0.13289999999999999</v>
      </c>
      <c r="AT51" s="17" t="s">
        <v>603</v>
      </c>
      <c r="AU51" s="16" t="s">
        <v>18</v>
      </c>
      <c r="AV51" s="8" t="s">
        <v>9</v>
      </c>
    </row>
    <row r="52" spans="1:48">
      <c r="A52" s="16" t="s">
        <v>150</v>
      </c>
      <c r="B52" s="17" t="s">
        <v>604</v>
      </c>
      <c r="C52" s="18" t="s">
        <v>605</v>
      </c>
      <c r="D52" s="18">
        <v>2023</v>
      </c>
      <c r="E52" s="18" t="s">
        <v>606</v>
      </c>
      <c r="F52" s="19" t="s">
        <v>154</v>
      </c>
      <c r="G52" s="16" t="s">
        <v>155</v>
      </c>
      <c r="H52" s="16" t="s">
        <v>156</v>
      </c>
      <c r="I52" s="16" t="s">
        <v>157</v>
      </c>
      <c r="J52" s="16" t="s">
        <v>158</v>
      </c>
      <c r="K52" s="16" t="s">
        <v>159</v>
      </c>
      <c r="L52" s="16" t="s">
        <v>160</v>
      </c>
      <c r="M52" s="16" t="s">
        <v>161</v>
      </c>
      <c r="N52" s="16" t="s">
        <v>607</v>
      </c>
      <c r="O52" s="16" t="s">
        <v>163</v>
      </c>
      <c r="P52" s="16" t="s">
        <v>18</v>
      </c>
      <c r="Q52" s="16" t="s">
        <v>164</v>
      </c>
      <c r="R52" s="16" t="s">
        <v>211</v>
      </c>
      <c r="S52" s="16" t="s">
        <v>608</v>
      </c>
      <c r="T52" s="16" t="s">
        <v>609</v>
      </c>
      <c r="U52" s="16">
        <v>0.65</v>
      </c>
      <c r="V52" s="16" t="s">
        <v>610</v>
      </c>
      <c r="W52" s="16" t="s">
        <v>611</v>
      </c>
      <c r="X52" s="16" t="s">
        <v>179</v>
      </c>
      <c r="Y52" s="16">
        <v>42</v>
      </c>
      <c r="Z52" s="16">
        <v>23</v>
      </c>
      <c r="AA52" s="16">
        <v>32.5</v>
      </c>
      <c r="AB52" s="16">
        <v>32.5</v>
      </c>
      <c r="AC52" s="16">
        <v>65</v>
      </c>
      <c r="AD52" s="16"/>
      <c r="AE52" s="16"/>
      <c r="AF52" s="16"/>
      <c r="AG52" s="16"/>
      <c r="AH52" s="16"/>
      <c r="AI52" s="16"/>
      <c r="AJ52" s="16"/>
      <c r="AK52" s="16"/>
      <c r="AL52" s="16" t="s">
        <v>253</v>
      </c>
      <c r="AM52" s="16" t="s">
        <v>172</v>
      </c>
      <c r="AN52" s="17"/>
      <c r="AO52" s="17">
        <v>0.3281</v>
      </c>
      <c r="AP52" s="17">
        <v>3.8199999999999998E-2</v>
      </c>
      <c r="AQ52" s="17" t="s">
        <v>612</v>
      </c>
      <c r="AR52" s="17">
        <v>1.8261000000000001</v>
      </c>
      <c r="AS52" s="17">
        <v>0.1288</v>
      </c>
      <c r="AT52" s="17" t="s">
        <v>613</v>
      </c>
      <c r="AU52" s="16" t="s">
        <v>18</v>
      </c>
      <c r="AV52" s="8" t="s">
        <v>9</v>
      </c>
    </row>
    <row r="53" spans="1:48">
      <c r="A53" s="16" t="s">
        <v>150</v>
      </c>
      <c r="B53" s="17" t="s">
        <v>614</v>
      </c>
      <c r="C53" s="18" t="s">
        <v>605</v>
      </c>
      <c r="D53" s="18">
        <v>2023</v>
      </c>
      <c r="E53" s="18" t="s">
        <v>606</v>
      </c>
      <c r="F53" s="19" t="s">
        <v>154</v>
      </c>
      <c r="G53" s="16" t="s">
        <v>155</v>
      </c>
      <c r="H53" s="16" t="s">
        <v>177</v>
      </c>
      <c r="I53" s="16" t="s">
        <v>157</v>
      </c>
      <c r="J53" s="16" t="s">
        <v>158</v>
      </c>
      <c r="K53" s="16" t="s">
        <v>159</v>
      </c>
      <c r="L53" s="16" t="s">
        <v>160</v>
      </c>
      <c r="M53" s="16" t="s">
        <v>161</v>
      </c>
      <c r="N53" s="16" t="s">
        <v>615</v>
      </c>
      <c r="O53" s="16" t="s">
        <v>163</v>
      </c>
      <c r="P53" s="16" t="s">
        <v>18</v>
      </c>
      <c r="Q53" s="16" t="s">
        <v>164</v>
      </c>
      <c r="R53" s="16" t="s">
        <v>211</v>
      </c>
      <c r="S53" s="16" t="s">
        <v>616</v>
      </c>
      <c r="T53" s="16" t="s">
        <v>609</v>
      </c>
      <c r="U53" s="16">
        <v>0.7</v>
      </c>
      <c r="V53" s="16" t="s">
        <v>617</v>
      </c>
      <c r="W53" s="16" t="s">
        <v>618</v>
      </c>
      <c r="X53" s="16" t="s">
        <v>179</v>
      </c>
      <c r="Y53" s="16">
        <v>45</v>
      </c>
      <c r="Z53" s="16">
        <v>20</v>
      </c>
      <c r="AA53" s="16">
        <v>32.5</v>
      </c>
      <c r="AB53" s="16">
        <v>32.5</v>
      </c>
      <c r="AC53" s="16">
        <v>65</v>
      </c>
      <c r="AD53" s="16"/>
      <c r="AE53" s="16"/>
      <c r="AF53" s="16"/>
      <c r="AG53" s="16"/>
      <c r="AH53" s="16"/>
      <c r="AI53" s="16"/>
      <c r="AJ53" s="16"/>
      <c r="AK53" s="16"/>
      <c r="AL53" s="16" t="s">
        <v>253</v>
      </c>
      <c r="AM53" s="16" t="s">
        <v>172</v>
      </c>
      <c r="AN53" s="16" t="s">
        <v>619</v>
      </c>
      <c r="AO53" s="17">
        <v>0.44180000000000003</v>
      </c>
      <c r="AP53" s="17">
        <v>3.9699999999999999E-2</v>
      </c>
      <c r="AQ53" s="17" t="s">
        <v>620</v>
      </c>
      <c r="AR53" s="17">
        <v>2.25</v>
      </c>
      <c r="AS53" s="17">
        <v>0.1338</v>
      </c>
      <c r="AT53" s="17" t="s">
        <v>621</v>
      </c>
      <c r="AU53" s="16" t="s">
        <v>18</v>
      </c>
      <c r="AV53" s="8" t="s">
        <v>9</v>
      </c>
    </row>
    <row r="54" spans="1:48">
      <c r="A54" s="16" t="s">
        <v>150</v>
      </c>
      <c r="B54" s="17" t="s">
        <v>622</v>
      </c>
      <c r="C54" s="18" t="s">
        <v>623</v>
      </c>
      <c r="D54" s="18">
        <v>2025</v>
      </c>
      <c r="E54" s="18" t="s">
        <v>624</v>
      </c>
      <c r="F54" s="19" t="s">
        <v>625</v>
      </c>
      <c r="G54" s="16" t="s">
        <v>155</v>
      </c>
      <c r="H54" s="16" t="s">
        <v>156</v>
      </c>
      <c r="I54" s="16" t="s">
        <v>157</v>
      </c>
      <c r="J54" s="16" t="s">
        <v>158</v>
      </c>
      <c r="K54" s="16" t="s">
        <v>159</v>
      </c>
      <c r="L54" s="16" t="s">
        <v>160</v>
      </c>
      <c r="M54" s="16" t="s">
        <v>161</v>
      </c>
      <c r="N54" s="16" t="s">
        <v>626</v>
      </c>
      <c r="O54" s="16" t="s">
        <v>163</v>
      </c>
      <c r="P54" s="16" t="s">
        <v>18</v>
      </c>
      <c r="Q54" s="16" t="s">
        <v>164</v>
      </c>
      <c r="R54" s="16" t="s">
        <v>211</v>
      </c>
      <c r="S54" s="16" t="s">
        <v>627</v>
      </c>
      <c r="T54" s="16" t="s">
        <v>628</v>
      </c>
      <c r="U54" s="16">
        <v>0.72</v>
      </c>
      <c r="V54" s="16" t="s">
        <v>629</v>
      </c>
      <c r="W54" s="16" t="s">
        <v>630</v>
      </c>
      <c r="X54" s="16" t="s">
        <v>179</v>
      </c>
      <c r="Y54" s="16">
        <v>138</v>
      </c>
      <c r="Z54" s="16">
        <v>54</v>
      </c>
      <c r="AA54" s="16">
        <v>83</v>
      </c>
      <c r="AB54" s="16">
        <v>106</v>
      </c>
      <c r="AC54" s="16">
        <v>381</v>
      </c>
      <c r="AD54" s="16"/>
      <c r="AE54" s="16"/>
      <c r="AF54" s="16"/>
      <c r="AG54" s="16"/>
      <c r="AH54" s="16"/>
      <c r="AI54" s="16"/>
      <c r="AJ54" s="16"/>
      <c r="AK54" s="16"/>
      <c r="AL54" s="16" t="s">
        <v>171</v>
      </c>
      <c r="AM54" s="16" t="s">
        <v>172</v>
      </c>
      <c r="AN54" s="16" t="s">
        <v>631</v>
      </c>
      <c r="AO54" s="17">
        <v>0.65090000000000003</v>
      </c>
      <c r="AP54" s="17">
        <v>1.43E-2</v>
      </c>
      <c r="AQ54" s="17" t="s">
        <v>632</v>
      </c>
      <c r="AR54" s="17">
        <v>3.2637</v>
      </c>
      <c r="AS54" s="17">
        <v>4.7199999999999999E-2</v>
      </c>
      <c r="AT54" s="17" t="s">
        <v>633</v>
      </c>
      <c r="AU54" s="16" t="s">
        <v>18</v>
      </c>
      <c r="AV54" s="8" t="s">
        <v>9</v>
      </c>
    </row>
    <row r="55" spans="1:48">
      <c r="A55" s="16" t="s">
        <v>150</v>
      </c>
      <c r="B55" s="17" t="s">
        <v>634</v>
      </c>
      <c r="C55" s="18" t="s">
        <v>635</v>
      </c>
      <c r="D55" s="18">
        <v>2025</v>
      </c>
      <c r="E55" s="18" t="s">
        <v>636</v>
      </c>
      <c r="F55" s="19" t="s">
        <v>154</v>
      </c>
      <c r="G55" s="16" t="s">
        <v>155</v>
      </c>
      <c r="H55" s="16" t="s">
        <v>156</v>
      </c>
      <c r="I55" s="16" t="s">
        <v>157</v>
      </c>
      <c r="J55" s="16" t="s">
        <v>158</v>
      </c>
      <c r="K55" s="16" t="s">
        <v>159</v>
      </c>
      <c r="L55" s="16" t="s">
        <v>160</v>
      </c>
      <c r="M55" s="16" t="s">
        <v>161</v>
      </c>
      <c r="N55" s="16" t="s">
        <v>637</v>
      </c>
      <c r="O55" s="16" t="s">
        <v>163</v>
      </c>
      <c r="P55" s="16" t="s">
        <v>18</v>
      </c>
      <c r="Q55" s="16" t="s">
        <v>164</v>
      </c>
      <c r="R55" s="16" t="s">
        <v>165</v>
      </c>
      <c r="S55" s="16" t="s">
        <v>638</v>
      </c>
      <c r="T55" s="16" t="s">
        <v>544</v>
      </c>
      <c r="U55" s="16">
        <v>0.74</v>
      </c>
      <c r="V55" s="16" t="s">
        <v>639</v>
      </c>
      <c r="W55" s="16" t="s">
        <v>640</v>
      </c>
      <c r="X55" s="16" t="s">
        <v>179</v>
      </c>
      <c r="Y55" s="16">
        <v>47</v>
      </c>
      <c r="Z55" s="16">
        <v>17</v>
      </c>
      <c r="AA55" s="16">
        <v>32</v>
      </c>
      <c r="AB55" s="16">
        <v>32</v>
      </c>
      <c r="AC55" s="16">
        <v>64</v>
      </c>
      <c r="AD55" s="16"/>
      <c r="AE55" s="16"/>
      <c r="AF55" s="16"/>
      <c r="AG55" s="16"/>
      <c r="AH55" s="16"/>
      <c r="AI55" s="16"/>
      <c r="AJ55" s="16"/>
      <c r="AK55" s="16"/>
      <c r="AL55" s="16" t="s">
        <v>253</v>
      </c>
      <c r="AM55" s="16" t="s">
        <v>172</v>
      </c>
      <c r="AN55" s="17"/>
      <c r="AO55" s="17">
        <v>0.55400000000000005</v>
      </c>
      <c r="AP55" s="17">
        <v>4.2299999999999997E-2</v>
      </c>
      <c r="AQ55" s="17" t="s">
        <v>641</v>
      </c>
      <c r="AR55" s="17">
        <v>2.7646999999999999</v>
      </c>
      <c r="AS55" s="17">
        <v>0.1426</v>
      </c>
      <c r="AT55" s="17" t="s">
        <v>642</v>
      </c>
      <c r="AU55" s="16" t="s">
        <v>18</v>
      </c>
      <c r="AV55" s="8" t="s">
        <v>9</v>
      </c>
    </row>
    <row r="56" spans="1:48">
      <c r="A56" s="16" t="s">
        <v>150</v>
      </c>
      <c r="B56" s="17" t="s">
        <v>643</v>
      </c>
      <c r="C56" s="18" t="s">
        <v>635</v>
      </c>
      <c r="D56" s="18">
        <v>2025</v>
      </c>
      <c r="E56" s="18" t="s">
        <v>636</v>
      </c>
      <c r="F56" s="19" t="s">
        <v>154</v>
      </c>
      <c r="G56" s="16" t="s">
        <v>155</v>
      </c>
      <c r="H56" s="16" t="s">
        <v>177</v>
      </c>
      <c r="I56" s="16" t="s">
        <v>157</v>
      </c>
      <c r="J56" s="16" t="s">
        <v>158</v>
      </c>
      <c r="K56" s="16" t="s">
        <v>159</v>
      </c>
      <c r="L56" s="16" t="s">
        <v>160</v>
      </c>
      <c r="M56" s="16" t="s">
        <v>161</v>
      </c>
      <c r="N56" s="16" t="s">
        <v>644</v>
      </c>
      <c r="O56" s="16" t="s">
        <v>163</v>
      </c>
      <c r="P56" s="16" t="s">
        <v>18</v>
      </c>
      <c r="Q56" s="16" t="s">
        <v>164</v>
      </c>
      <c r="R56" s="16" t="s">
        <v>165</v>
      </c>
      <c r="S56" s="16" t="s">
        <v>645</v>
      </c>
      <c r="T56" s="16" t="s">
        <v>544</v>
      </c>
      <c r="U56" s="16">
        <v>0.72</v>
      </c>
      <c r="V56" s="16" t="s">
        <v>646</v>
      </c>
      <c r="W56" s="16" t="s">
        <v>640</v>
      </c>
      <c r="X56" s="16" t="s">
        <v>179</v>
      </c>
      <c r="Y56" s="16">
        <v>48</v>
      </c>
      <c r="Z56" s="16">
        <v>18</v>
      </c>
      <c r="AA56" s="16">
        <v>33</v>
      </c>
      <c r="AB56" s="16">
        <v>33</v>
      </c>
      <c r="AC56" s="16">
        <v>66</v>
      </c>
      <c r="AD56" s="16"/>
      <c r="AE56" s="16"/>
      <c r="AF56" s="16"/>
      <c r="AG56" s="16"/>
      <c r="AH56" s="16"/>
      <c r="AI56" s="16"/>
      <c r="AJ56" s="16"/>
      <c r="AK56" s="16"/>
      <c r="AL56" s="16" t="s">
        <v>253</v>
      </c>
      <c r="AM56" s="16" t="s">
        <v>172</v>
      </c>
      <c r="AN56" s="17"/>
      <c r="AO56" s="17">
        <v>0.53449999999999998</v>
      </c>
      <c r="AP56" s="17">
        <v>4.07E-2</v>
      </c>
      <c r="AQ56" s="17" t="s">
        <v>647</v>
      </c>
      <c r="AR56" s="17">
        <v>2.6667000000000001</v>
      </c>
      <c r="AS56" s="17">
        <v>0.13700000000000001</v>
      </c>
      <c r="AT56" s="17" t="s">
        <v>648</v>
      </c>
      <c r="AU56" s="16" t="s">
        <v>18</v>
      </c>
      <c r="AV56" s="8" t="s">
        <v>9</v>
      </c>
    </row>
    <row r="57" spans="1:48">
      <c r="A57" s="16" t="s">
        <v>150</v>
      </c>
      <c r="B57" s="17" t="s">
        <v>649</v>
      </c>
      <c r="C57" s="18" t="s">
        <v>635</v>
      </c>
      <c r="D57" s="18">
        <v>2025</v>
      </c>
      <c r="E57" s="18" t="s">
        <v>636</v>
      </c>
      <c r="F57" s="19" t="s">
        <v>154</v>
      </c>
      <c r="G57" s="16" t="s">
        <v>155</v>
      </c>
      <c r="H57" s="16" t="s">
        <v>184</v>
      </c>
      <c r="I57" s="16" t="s">
        <v>157</v>
      </c>
      <c r="J57" s="16" t="s">
        <v>158</v>
      </c>
      <c r="K57" s="16" t="s">
        <v>159</v>
      </c>
      <c r="L57" s="16" t="s">
        <v>160</v>
      </c>
      <c r="M57" s="16" t="s">
        <v>161</v>
      </c>
      <c r="N57" s="16" t="s">
        <v>650</v>
      </c>
      <c r="O57" s="16" t="s">
        <v>163</v>
      </c>
      <c r="P57" s="16" t="s">
        <v>18</v>
      </c>
      <c r="Q57" s="16" t="s">
        <v>164</v>
      </c>
      <c r="R57" s="16" t="s">
        <v>165</v>
      </c>
      <c r="S57" s="16" t="s">
        <v>651</v>
      </c>
      <c r="T57" s="16" t="s">
        <v>544</v>
      </c>
      <c r="U57" s="16">
        <v>0.7</v>
      </c>
      <c r="V57" s="16" t="s">
        <v>652</v>
      </c>
      <c r="W57" s="16" t="s">
        <v>640</v>
      </c>
      <c r="X57" s="16" t="s">
        <v>179</v>
      </c>
      <c r="Y57" s="16">
        <v>45</v>
      </c>
      <c r="Z57" s="16">
        <v>19</v>
      </c>
      <c r="AA57" s="16">
        <v>32</v>
      </c>
      <c r="AB57" s="16">
        <v>32</v>
      </c>
      <c r="AC57" s="16">
        <v>64</v>
      </c>
      <c r="AD57" s="16"/>
      <c r="AE57" s="16"/>
      <c r="AF57" s="16"/>
      <c r="AG57" s="16"/>
      <c r="AH57" s="16"/>
      <c r="AI57" s="16"/>
      <c r="AJ57" s="16"/>
      <c r="AK57" s="16"/>
      <c r="AL57" s="16" t="s">
        <v>253</v>
      </c>
      <c r="AM57" s="16" t="s">
        <v>172</v>
      </c>
      <c r="AN57" s="17"/>
      <c r="AO57" s="17">
        <v>0.46970000000000001</v>
      </c>
      <c r="AP57" s="17">
        <v>4.0800000000000003E-2</v>
      </c>
      <c r="AQ57" s="17" t="s">
        <v>653</v>
      </c>
      <c r="AR57" s="17">
        <v>2.3683999999999998</v>
      </c>
      <c r="AS57" s="17">
        <v>0.13739999999999999</v>
      </c>
      <c r="AT57" s="17" t="s">
        <v>654</v>
      </c>
      <c r="AU57" s="16" t="s">
        <v>18</v>
      </c>
      <c r="AV57" s="8" t="s">
        <v>9</v>
      </c>
    </row>
    <row r="58" spans="1:48">
      <c r="A58" s="16" t="s">
        <v>150</v>
      </c>
      <c r="B58" s="17" t="s">
        <v>655</v>
      </c>
      <c r="C58" s="18" t="s">
        <v>635</v>
      </c>
      <c r="D58" s="18">
        <v>2025</v>
      </c>
      <c r="E58" s="18" t="s">
        <v>636</v>
      </c>
      <c r="F58" s="19" t="s">
        <v>154</v>
      </c>
      <c r="G58" s="16" t="s">
        <v>155</v>
      </c>
      <c r="H58" s="16" t="s">
        <v>376</v>
      </c>
      <c r="I58" s="16" t="s">
        <v>157</v>
      </c>
      <c r="J58" s="16" t="s">
        <v>158</v>
      </c>
      <c r="K58" s="16" t="s">
        <v>159</v>
      </c>
      <c r="L58" s="16" t="s">
        <v>160</v>
      </c>
      <c r="M58" s="16" t="s">
        <v>161</v>
      </c>
      <c r="N58" s="16" t="s">
        <v>656</v>
      </c>
      <c r="O58" s="16" t="s">
        <v>163</v>
      </c>
      <c r="P58" s="16" t="s">
        <v>18</v>
      </c>
      <c r="Q58" s="16" t="s">
        <v>164</v>
      </c>
      <c r="R58" s="16" t="s">
        <v>165</v>
      </c>
      <c r="S58" s="16" t="s">
        <v>657</v>
      </c>
      <c r="T58" s="16" t="s">
        <v>544</v>
      </c>
      <c r="U58" s="16">
        <v>0.71</v>
      </c>
      <c r="V58" s="16" t="s">
        <v>658</v>
      </c>
      <c r="W58" s="16" t="s">
        <v>659</v>
      </c>
      <c r="X58" s="16" t="s">
        <v>179</v>
      </c>
      <c r="Y58" s="16">
        <v>47</v>
      </c>
      <c r="Z58" s="16">
        <v>19</v>
      </c>
      <c r="AA58" s="16">
        <v>33</v>
      </c>
      <c r="AB58" s="16">
        <v>33</v>
      </c>
      <c r="AC58" s="16">
        <v>66</v>
      </c>
      <c r="AD58" s="16"/>
      <c r="AE58" s="16"/>
      <c r="AF58" s="16"/>
      <c r="AG58" s="16"/>
      <c r="AH58" s="16"/>
      <c r="AI58" s="16"/>
      <c r="AJ58" s="16"/>
      <c r="AK58" s="16"/>
      <c r="AL58" s="16" t="s">
        <v>253</v>
      </c>
      <c r="AM58" s="16" t="s">
        <v>172</v>
      </c>
      <c r="AN58" s="17"/>
      <c r="AO58" s="17">
        <v>0.49359999999999998</v>
      </c>
      <c r="AP58" s="17">
        <v>3.9899999999999998E-2</v>
      </c>
      <c r="AQ58" s="17" t="s">
        <v>660</v>
      </c>
      <c r="AR58" s="17">
        <v>2.4737</v>
      </c>
      <c r="AS58" s="17">
        <v>0.13450000000000001</v>
      </c>
      <c r="AT58" s="17" t="s">
        <v>661</v>
      </c>
      <c r="AU58" s="16" t="s">
        <v>18</v>
      </c>
      <c r="AV58" s="8" t="s">
        <v>9</v>
      </c>
    </row>
    <row r="59" spans="1:48">
      <c r="A59" s="16" t="s">
        <v>150</v>
      </c>
      <c r="B59" s="17" t="s">
        <v>662</v>
      </c>
      <c r="C59" s="18" t="s">
        <v>663</v>
      </c>
      <c r="D59" s="18">
        <v>2003</v>
      </c>
      <c r="E59" s="18" t="s">
        <v>664</v>
      </c>
      <c r="F59" s="19" t="s">
        <v>665</v>
      </c>
      <c r="G59" s="16" t="s">
        <v>155</v>
      </c>
      <c r="H59" s="16" t="s">
        <v>156</v>
      </c>
      <c r="I59" s="16" t="s">
        <v>205</v>
      </c>
      <c r="J59" s="16" t="s">
        <v>158</v>
      </c>
      <c r="K59" s="16" t="s">
        <v>206</v>
      </c>
      <c r="L59" s="16" t="s">
        <v>160</v>
      </c>
      <c r="M59" s="16" t="s">
        <v>208</v>
      </c>
      <c r="N59" s="16" t="s">
        <v>666</v>
      </c>
      <c r="O59" s="16" t="s">
        <v>163</v>
      </c>
      <c r="P59" s="16" t="s">
        <v>9</v>
      </c>
      <c r="Q59" s="16" t="s">
        <v>164</v>
      </c>
      <c r="R59" s="16" t="s">
        <v>274</v>
      </c>
      <c r="S59" s="16" t="s">
        <v>667</v>
      </c>
      <c r="T59" s="16" t="s">
        <v>668</v>
      </c>
      <c r="U59" s="16">
        <v>3.16</v>
      </c>
      <c r="V59" s="16" t="s">
        <v>669</v>
      </c>
      <c r="W59" s="16" t="s">
        <v>670</v>
      </c>
      <c r="X59" s="16" t="s">
        <v>179</v>
      </c>
      <c r="Y59" s="16" t="s">
        <v>196</v>
      </c>
      <c r="Z59" s="16" t="s">
        <v>196</v>
      </c>
      <c r="AA59" s="16" t="s">
        <v>196</v>
      </c>
      <c r="AB59" s="16" t="s">
        <v>196</v>
      </c>
      <c r="AC59" s="16">
        <v>15</v>
      </c>
      <c r="AD59" s="16"/>
      <c r="AE59" s="16"/>
      <c r="AF59" s="16"/>
      <c r="AG59" s="16"/>
      <c r="AH59" s="16"/>
      <c r="AI59" s="16"/>
      <c r="AJ59" s="16"/>
      <c r="AK59" s="16"/>
      <c r="AL59" s="16" t="s">
        <v>171</v>
      </c>
      <c r="AM59" s="16" t="s">
        <v>303</v>
      </c>
      <c r="AN59" s="16" t="s">
        <v>671</v>
      </c>
      <c r="AO59" s="17">
        <v>0.77139999999999997</v>
      </c>
      <c r="AP59" s="17">
        <v>8.7900000000000006E-2</v>
      </c>
      <c r="AQ59" s="17" t="s">
        <v>672</v>
      </c>
      <c r="AR59" s="17">
        <v>4.0518000000000001</v>
      </c>
      <c r="AS59" s="17">
        <v>0.28920000000000001</v>
      </c>
      <c r="AT59" s="17" t="s">
        <v>673</v>
      </c>
      <c r="AU59" s="16" t="s">
        <v>18</v>
      </c>
      <c r="AV59" s="8" t="s">
        <v>9</v>
      </c>
    </row>
    <row r="60" spans="1:48">
      <c r="A60" s="16" t="s">
        <v>150</v>
      </c>
      <c r="B60" s="17" t="s">
        <v>674</v>
      </c>
      <c r="C60" s="18" t="s">
        <v>663</v>
      </c>
      <c r="D60" s="18">
        <v>2003</v>
      </c>
      <c r="E60" s="18" t="s">
        <v>664</v>
      </c>
      <c r="F60" s="19" t="s">
        <v>665</v>
      </c>
      <c r="G60" s="16" t="s">
        <v>155</v>
      </c>
      <c r="H60" s="16" t="s">
        <v>177</v>
      </c>
      <c r="I60" s="16" t="s">
        <v>205</v>
      </c>
      <c r="J60" s="16" t="s">
        <v>158</v>
      </c>
      <c r="K60" s="16" t="s">
        <v>206</v>
      </c>
      <c r="L60" s="16" t="s">
        <v>160</v>
      </c>
      <c r="M60" s="16" t="s">
        <v>208</v>
      </c>
      <c r="N60" s="16" t="s">
        <v>675</v>
      </c>
      <c r="O60" s="16" t="s">
        <v>163</v>
      </c>
      <c r="P60" s="16" t="s">
        <v>9</v>
      </c>
      <c r="Q60" s="16" t="s">
        <v>164</v>
      </c>
      <c r="R60" s="16" t="s">
        <v>274</v>
      </c>
      <c r="S60" s="16" t="s">
        <v>676</v>
      </c>
      <c r="T60" s="16" t="s">
        <v>668</v>
      </c>
      <c r="U60" s="16">
        <v>3.14</v>
      </c>
      <c r="V60" s="16" t="s">
        <v>677</v>
      </c>
      <c r="W60" s="16" t="s">
        <v>678</v>
      </c>
      <c r="X60" s="16" t="s">
        <v>179</v>
      </c>
      <c r="Y60" s="16" t="s">
        <v>196</v>
      </c>
      <c r="Z60" s="16" t="s">
        <v>196</v>
      </c>
      <c r="AA60" s="16" t="s">
        <v>196</v>
      </c>
      <c r="AB60" s="16" t="s">
        <v>196</v>
      </c>
      <c r="AC60" s="16">
        <v>12</v>
      </c>
      <c r="AD60" s="16"/>
      <c r="AE60" s="16"/>
      <c r="AF60" s="16"/>
      <c r="AG60" s="16"/>
      <c r="AH60" s="16"/>
      <c r="AI60" s="16"/>
      <c r="AJ60" s="16"/>
      <c r="AK60" s="16"/>
      <c r="AL60" s="16" t="s">
        <v>171</v>
      </c>
      <c r="AM60" s="16" t="s">
        <v>303</v>
      </c>
      <c r="AN60" s="16" t="s">
        <v>679</v>
      </c>
      <c r="AO60" s="17">
        <v>0.84319999999999995</v>
      </c>
      <c r="AP60" s="17">
        <v>0.1157</v>
      </c>
      <c r="AQ60" s="17" t="s">
        <v>680</v>
      </c>
      <c r="AR60" s="17">
        <v>4.6154000000000002</v>
      </c>
      <c r="AS60" s="17">
        <v>0.38059999999999999</v>
      </c>
      <c r="AT60" s="17" t="s">
        <v>681</v>
      </c>
      <c r="AU60" s="16" t="s">
        <v>18</v>
      </c>
      <c r="AV60" s="8" t="s">
        <v>9</v>
      </c>
    </row>
    <row r="61" spans="1:48">
      <c r="A61" s="16" t="s">
        <v>150</v>
      </c>
      <c r="B61" s="17" t="s">
        <v>682</v>
      </c>
      <c r="C61" s="18" t="s">
        <v>663</v>
      </c>
      <c r="D61" s="18">
        <v>2003</v>
      </c>
      <c r="E61" s="18" t="s">
        <v>664</v>
      </c>
      <c r="F61" s="19" t="s">
        <v>665</v>
      </c>
      <c r="G61" s="16" t="s">
        <v>155</v>
      </c>
      <c r="H61" s="16" t="s">
        <v>184</v>
      </c>
      <c r="I61" s="16" t="s">
        <v>205</v>
      </c>
      <c r="J61" s="16" t="s">
        <v>158</v>
      </c>
      <c r="K61" s="16" t="s">
        <v>206</v>
      </c>
      <c r="L61" s="16" t="s">
        <v>160</v>
      </c>
      <c r="M61" s="16" t="s">
        <v>208</v>
      </c>
      <c r="N61" s="16" t="s">
        <v>683</v>
      </c>
      <c r="O61" s="16" t="s">
        <v>163</v>
      </c>
      <c r="P61" s="16" t="s">
        <v>9</v>
      </c>
      <c r="Q61" s="16" t="s">
        <v>164</v>
      </c>
      <c r="R61" s="16" t="s">
        <v>274</v>
      </c>
      <c r="S61" s="16" t="s">
        <v>684</v>
      </c>
      <c r="T61" s="16" t="s">
        <v>668</v>
      </c>
      <c r="U61" s="16">
        <v>0.93</v>
      </c>
      <c r="V61" s="16" t="s">
        <v>685</v>
      </c>
      <c r="W61" s="16" t="s">
        <v>686</v>
      </c>
      <c r="X61" s="16" t="s">
        <v>170</v>
      </c>
      <c r="Y61" s="16" t="s">
        <v>196</v>
      </c>
      <c r="Z61" s="16" t="s">
        <v>196</v>
      </c>
      <c r="AA61" s="16" t="s">
        <v>196</v>
      </c>
      <c r="AB61" s="16" t="s">
        <v>196</v>
      </c>
      <c r="AC61" s="16">
        <v>12</v>
      </c>
      <c r="AD61" s="16"/>
      <c r="AE61" s="16"/>
      <c r="AF61" s="16"/>
      <c r="AG61" s="16"/>
      <c r="AH61" s="16"/>
      <c r="AI61" s="16"/>
      <c r="AJ61" s="16"/>
      <c r="AK61" s="16"/>
      <c r="AL61" s="16" t="s">
        <v>171</v>
      </c>
      <c r="AM61" s="16" t="s">
        <v>303</v>
      </c>
      <c r="AN61" s="16" t="s">
        <v>679</v>
      </c>
      <c r="AO61" s="17">
        <v>0.24970000000000001</v>
      </c>
      <c r="AP61" s="17">
        <v>8.6199999999999999E-2</v>
      </c>
      <c r="AQ61" s="17" t="s">
        <v>687</v>
      </c>
      <c r="AR61" s="17">
        <v>1.5729</v>
      </c>
      <c r="AS61" s="17">
        <v>0.28360000000000002</v>
      </c>
      <c r="AT61" s="17" t="s">
        <v>688</v>
      </c>
      <c r="AU61" s="16" t="s">
        <v>18</v>
      </c>
      <c r="AV61" s="8" t="s">
        <v>9</v>
      </c>
    </row>
    <row r="62" spans="1:48">
      <c r="A62" s="16" t="s">
        <v>150</v>
      </c>
      <c r="B62" s="17" t="s">
        <v>689</v>
      </c>
      <c r="C62" s="28" t="s">
        <v>663</v>
      </c>
      <c r="D62" s="18">
        <v>2003</v>
      </c>
      <c r="E62" s="18" t="s">
        <v>664</v>
      </c>
      <c r="F62" s="19" t="s">
        <v>665</v>
      </c>
      <c r="G62" s="16" t="s">
        <v>155</v>
      </c>
      <c r="H62" s="16" t="s">
        <v>376</v>
      </c>
      <c r="I62" s="16" t="s">
        <v>205</v>
      </c>
      <c r="J62" s="16" t="s">
        <v>158</v>
      </c>
      <c r="K62" s="16" t="s">
        <v>206</v>
      </c>
      <c r="L62" s="16" t="s">
        <v>160</v>
      </c>
      <c r="M62" s="16" t="s">
        <v>208</v>
      </c>
      <c r="N62" s="16" t="s">
        <v>690</v>
      </c>
      <c r="O62" s="16" t="s">
        <v>163</v>
      </c>
      <c r="P62" s="16" t="s">
        <v>9</v>
      </c>
      <c r="Q62" s="16" t="s">
        <v>164</v>
      </c>
      <c r="R62" s="16" t="s">
        <v>274</v>
      </c>
      <c r="S62" s="16" t="s">
        <v>691</v>
      </c>
      <c r="T62" s="16" t="s">
        <v>692</v>
      </c>
      <c r="U62" s="16">
        <v>8.23</v>
      </c>
      <c r="V62" s="16" t="s">
        <v>693</v>
      </c>
      <c r="W62" s="16" t="s">
        <v>694</v>
      </c>
      <c r="X62" s="16" t="s">
        <v>179</v>
      </c>
      <c r="Y62" s="16" t="s">
        <v>196</v>
      </c>
      <c r="Z62" s="16" t="s">
        <v>196</v>
      </c>
      <c r="AA62" s="16" t="s">
        <v>196</v>
      </c>
      <c r="AB62" s="16" t="s">
        <v>196</v>
      </c>
      <c r="AC62" s="16">
        <v>15</v>
      </c>
      <c r="AD62" s="16"/>
      <c r="AE62" s="16"/>
      <c r="AF62" s="16"/>
      <c r="AG62" s="16"/>
      <c r="AH62" s="16"/>
      <c r="AI62" s="16"/>
      <c r="AJ62" s="16"/>
      <c r="AK62" s="16"/>
      <c r="AL62" s="16" t="s">
        <v>171</v>
      </c>
      <c r="AM62" s="16" t="s">
        <v>303</v>
      </c>
      <c r="AN62" s="16" t="s">
        <v>695</v>
      </c>
      <c r="AO62" s="17"/>
      <c r="AP62" s="17"/>
      <c r="AQ62" s="17"/>
      <c r="AR62" s="17"/>
      <c r="AS62" s="17"/>
      <c r="AT62" s="17"/>
      <c r="AU62" s="16" t="s">
        <v>18</v>
      </c>
      <c r="AV62" s="8" t="s">
        <v>9</v>
      </c>
    </row>
    <row r="63" spans="1:48">
      <c r="A63" s="16" t="s">
        <v>150</v>
      </c>
      <c r="B63" s="17" t="s">
        <v>696</v>
      </c>
      <c r="C63" s="28" t="s">
        <v>697</v>
      </c>
      <c r="D63" s="18">
        <v>2008</v>
      </c>
      <c r="E63" s="18" t="s">
        <v>698</v>
      </c>
      <c r="F63" s="19" t="s">
        <v>204</v>
      </c>
      <c r="G63" s="16" t="s">
        <v>155</v>
      </c>
      <c r="H63" s="16" t="s">
        <v>156</v>
      </c>
      <c r="I63" s="16" t="s">
        <v>205</v>
      </c>
      <c r="J63" s="16" t="s">
        <v>158</v>
      </c>
      <c r="K63" s="16" t="s">
        <v>206</v>
      </c>
      <c r="L63" s="16" t="s">
        <v>699</v>
      </c>
      <c r="M63" s="16" t="s">
        <v>207</v>
      </c>
      <c r="N63" s="16" t="s">
        <v>700</v>
      </c>
      <c r="O63" s="16" t="s">
        <v>210</v>
      </c>
      <c r="P63" s="16" t="s">
        <v>9</v>
      </c>
      <c r="Q63" s="16" t="s">
        <v>196</v>
      </c>
      <c r="R63" s="16" t="s">
        <v>274</v>
      </c>
      <c r="S63" s="16" t="s">
        <v>701</v>
      </c>
      <c r="T63" s="16" t="s">
        <v>702</v>
      </c>
      <c r="U63" s="16">
        <v>0.88900000000000001</v>
      </c>
      <c r="V63" s="16" t="s">
        <v>703</v>
      </c>
      <c r="W63" s="16" t="s">
        <v>704</v>
      </c>
      <c r="X63" s="16" t="s">
        <v>179</v>
      </c>
      <c r="Y63" s="16">
        <v>16</v>
      </c>
      <c r="Z63" s="16">
        <v>2</v>
      </c>
      <c r="AA63" s="16">
        <v>9</v>
      </c>
      <c r="AB63" s="16">
        <v>9</v>
      </c>
      <c r="AC63" s="16">
        <v>36</v>
      </c>
      <c r="AD63" s="16"/>
      <c r="AE63" s="16"/>
      <c r="AF63" s="16"/>
      <c r="AG63" s="16"/>
      <c r="AH63" s="16"/>
      <c r="AI63" s="16"/>
      <c r="AJ63" s="16"/>
      <c r="AK63" s="16"/>
      <c r="AL63" s="16" t="s">
        <v>253</v>
      </c>
      <c r="AM63" s="16"/>
      <c r="AN63" s="16" t="s">
        <v>705</v>
      </c>
      <c r="AO63" s="16">
        <v>1.1216999999999999</v>
      </c>
      <c r="AP63" s="16">
        <v>0.2283</v>
      </c>
      <c r="AQ63" s="16" t="s">
        <v>706</v>
      </c>
      <c r="AR63" s="16">
        <v>8</v>
      </c>
      <c r="AS63" s="16">
        <v>0.78469999999999995</v>
      </c>
      <c r="AT63" s="17" t="s">
        <v>707</v>
      </c>
      <c r="AU63" s="16" t="s">
        <v>18</v>
      </c>
      <c r="AV63" s="8" t="s">
        <v>18</v>
      </c>
    </row>
    <row r="64" spans="1:48">
      <c r="A64" s="16" t="s">
        <v>150</v>
      </c>
      <c r="B64" s="17" t="s">
        <v>708</v>
      </c>
      <c r="C64" s="28" t="s">
        <v>697</v>
      </c>
      <c r="D64" s="18">
        <v>2008</v>
      </c>
      <c r="E64" s="18" t="s">
        <v>698</v>
      </c>
      <c r="F64" s="19" t="s">
        <v>204</v>
      </c>
      <c r="G64" s="16" t="s">
        <v>155</v>
      </c>
      <c r="H64" s="16" t="s">
        <v>177</v>
      </c>
      <c r="I64" s="16" t="s">
        <v>205</v>
      </c>
      <c r="J64" s="16" t="s">
        <v>158</v>
      </c>
      <c r="K64" s="16" t="s">
        <v>206</v>
      </c>
      <c r="L64" s="16" t="s">
        <v>699</v>
      </c>
      <c r="M64" s="16" t="s">
        <v>207</v>
      </c>
      <c r="N64" s="16" t="s">
        <v>709</v>
      </c>
      <c r="O64" s="16" t="s">
        <v>210</v>
      </c>
      <c r="P64" s="16" t="s">
        <v>9</v>
      </c>
      <c r="Q64" s="16" t="s">
        <v>196</v>
      </c>
      <c r="R64" s="16" t="s">
        <v>274</v>
      </c>
      <c r="S64" s="16" t="s">
        <v>710</v>
      </c>
      <c r="T64" s="16" t="s">
        <v>711</v>
      </c>
      <c r="U64" s="16">
        <v>65.02</v>
      </c>
      <c r="V64" s="16" t="s">
        <v>712</v>
      </c>
      <c r="W64" s="16" t="s">
        <v>713</v>
      </c>
      <c r="X64" s="16" t="s">
        <v>179</v>
      </c>
      <c r="Y64" s="16" t="s">
        <v>196</v>
      </c>
      <c r="Z64" s="16" t="s">
        <v>196</v>
      </c>
      <c r="AA64" s="16" t="s">
        <v>196</v>
      </c>
      <c r="AB64" s="16" t="s">
        <v>196</v>
      </c>
      <c r="AC64" s="16">
        <v>72</v>
      </c>
      <c r="AD64" s="16"/>
      <c r="AE64" s="16"/>
      <c r="AF64" s="16"/>
      <c r="AG64" s="16"/>
      <c r="AH64" s="16"/>
      <c r="AI64" s="16"/>
      <c r="AJ64" s="16"/>
      <c r="AK64" s="16"/>
      <c r="AL64" s="16" t="s">
        <v>253</v>
      </c>
      <c r="AM64" s="16"/>
      <c r="AN64" s="16" t="s">
        <v>714</v>
      </c>
      <c r="AO64" s="17"/>
      <c r="AP64" s="17"/>
      <c r="AQ64" s="17"/>
      <c r="AR64" s="17"/>
      <c r="AS64" s="17"/>
      <c r="AT64" s="17"/>
      <c r="AU64" s="16" t="s">
        <v>18</v>
      </c>
      <c r="AV64" s="8" t="s">
        <v>18</v>
      </c>
    </row>
    <row r="65" spans="1:48">
      <c r="A65" s="16" t="s">
        <v>150</v>
      </c>
      <c r="B65" s="17" t="s">
        <v>715</v>
      </c>
      <c r="C65" s="27" t="s">
        <v>716</v>
      </c>
      <c r="D65" s="18">
        <v>2009</v>
      </c>
      <c r="E65" s="18" t="s">
        <v>717</v>
      </c>
      <c r="F65" s="19" t="s">
        <v>204</v>
      </c>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6"/>
      <c r="AN65" s="16" t="s">
        <v>718</v>
      </c>
      <c r="AO65" s="17"/>
      <c r="AP65" s="17"/>
      <c r="AQ65" s="17"/>
      <c r="AR65" s="17"/>
      <c r="AS65" s="17"/>
      <c r="AT65" s="17"/>
      <c r="AU65" s="16" t="s">
        <v>18</v>
      </c>
      <c r="AV65" s="8" t="s">
        <v>18</v>
      </c>
    </row>
    <row r="66" spans="1:48">
      <c r="A66" s="16" t="s">
        <v>150</v>
      </c>
      <c r="B66" s="17" t="s">
        <v>719</v>
      </c>
      <c r="C66" s="18" t="s">
        <v>720</v>
      </c>
      <c r="D66" s="18">
        <v>2020</v>
      </c>
      <c r="E66" s="18" t="s">
        <v>721</v>
      </c>
      <c r="F66" s="19" t="s">
        <v>297</v>
      </c>
      <c r="G66" s="16" t="s">
        <v>155</v>
      </c>
      <c r="H66" s="16" t="s">
        <v>156</v>
      </c>
      <c r="I66" s="16" t="s">
        <v>205</v>
      </c>
      <c r="J66" s="16" t="s">
        <v>158</v>
      </c>
      <c r="K66" s="16" t="s">
        <v>206</v>
      </c>
      <c r="L66" s="16" t="s">
        <v>207</v>
      </c>
      <c r="M66" s="16" t="s">
        <v>208</v>
      </c>
      <c r="N66" s="16" t="s">
        <v>722</v>
      </c>
      <c r="O66" s="16" t="s">
        <v>210</v>
      </c>
      <c r="P66" s="16" t="s">
        <v>9</v>
      </c>
      <c r="Q66" s="16" t="s">
        <v>164</v>
      </c>
      <c r="R66" s="16" t="s">
        <v>211</v>
      </c>
      <c r="S66" s="16" t="s">
        <v>723</v>
      </c>
      <c r="T66" s="16" t="s">
        <v>724</v>
      </c>
      <c r="U66" s="16" t="s">
        <v>196</v>
      </c>
      <c r="V66" s="16" t="s">
        <v>725</v>
      </c>
      <c r="W66" s="16" t="s">
        <v>726</v>
      </c>
      <c r="X66" s="16" t="s">
        <v>179</v>
      </c>
      <c r="Y66" s="16">
        <v>58</v>
      </c>
      <c r="Z66" s="16">
        <v>62</v>
      </c>
      <c r="AA66" s="16">
        <v>11</v>
      </c>
      <c r="AB66" s="16">
        <v>29</v>
      </c>
      <c r="AC66" s="16">
        <v>160</v>
      </c>
      <c r="AD66" s="16"/>
      <c r="AE66" s="16"/>
      <c r="AF66" s="16"/>
      <c r="AG66" s="16"/>
      <c r="AH66" s="16"/>
      <c r="AI66" s="16"/>
      <c r="AJ66" s="16"/>
      <c r="AK66" s="16"/>
      <c r="AL66" s="16" t="s">
        <v>253</v>
      </c>
      <c r="AM66" s="16" t="s">
        <v>172</v>
      </c>
      <c r="AN66" s="16" t="s">
        <v>727</v>
      </c>
      <c r="AO66" s="17">
        <v>0.49530000000000002</v>
      </c>
      <c r="AP66" s="17">
        <v>4.7800000000000002E-2</v>
      </c>
      <c r="AQ66" s="17" t="s">
        <v>728</v>
      </c>
      <c r="AR66" s="17">
        <v>2.4662999999999999</v>
      </c>
      <c r="AS66" s="17">
        <v>0.1588</v>
      </c>
      <c r="AT66" s="17" t="s">
        <v>729</v>
      </c>
      <c r="AU66" s="16" t="s">
        <v>18</v>
      </c>
      <c r="AV66" s="8" t="s">
        <v>9</v>
      </c>
    </row>
    <row r="67" spans="1:48">
      <c r="A67" s="16" t="s">
        <v>150</v>
      </c>
      <c r="B67" s="17" t="s">
        <v>730</v>
      </c>
      <c r="C67" s="27" t="s">
        <v>731</v>
      </c>
      <c r="D67" s="18">
        <v>2000</v>
      </c>
      <c r="E67" s="18" t="s">
        <v>732</v>
      </c>
      <c r="F67" s="19" t="s">
        <v>733</v>
      </c>
      <c r="G67" s="16" t="s">
        <v>734</v>
      </c>
      <c r="H67" s="16" t="s">
        <v>156</v>
      </c>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6"/>
      <c r="AN67" s="16" t="s">
        <v>735</v>
      </c>
      <c r="AO67" s="17"/>
      <c r="AP67" s="17"/>
      <c r="AQ67" s="17"/>
      <c r="AR67" s="17"/>
      <c r="AS67" s="17"/>
      <c r="AT67" s="17"/>
      <c r="AU67" s="16" t="s">
        <v>18</v>
      </c>
      <c r="AV67" s="8" t="s">
        <v>18</v>
      </c>
    </row>
    <row r="68" spans="1:48">
      <c r="A68" s="16" t="s">
        <v>150</v>
      </c>
      <c r="B68" s="17" t="s">
        <v>736</v>
      </c>
      <c r="C68" s="18" t="s">
        <v>737</v>
      </c>
      <c r="D68" s="18">
        <v>2014</v>
      </c>
      <c r="E68" s="18" t="s">
        <v>737</v>
      </c>
      <c r="F68" s="19" t="s">
        <v>738</v>
      </c>
      <c r="G68" s="16" t="s">
        <v>155</v>
      </c>
      <c r="H68" s="16" t="s">
        <v>156</v>
      </c>
      <c r="I68" s="16" t="s">
        <v>205</v>
      </c>
      <c r="J68" s="16" t="s">
        <v>158</v>
      </c>
      <c r="K68" s="16" t="s">
        <v>159</v>
      </c>
      <c r="L68" s="16" t="s">
        <v>160</v>
      </c>
      <c r="M68" s="16" t="s">
        <v>208</v>
      </c>
      <c r="N68" s="16" t="s">
        <v>739</v>
      </c>
      <c r="O68" s="16" t="s">
        <v>163</v>
      </c>
      <c r="P68" s="16" t="s">
        <v>18</v>
      </c>
      <c r="Q68" s="16" t="s">
        <v>164</v>
      </c>
      <c r="R68" s="16" t="s">
        <v>165</v>
      </c>
      <c r="S68" s="16" t="s">
        <v>740</v>
      </c>
      <c r="T68" s="16" t="s">
        <v>741</v>
      </c>
      <c r="U68" s="16" t="s">
        <v>742</v>
      </c>
      <c r="V68" s="16" t="s">
        <v>743</v>
      </c>
      <c r="W68" s="16" t="s">
        <v>744</v>
      </c>
      <c r="X68" s="16" t="s">
        <v>170</v>
      </c>
      <c r="Y68" s="16">
        <v>45</v>
      </c>
      <c r="Z68" s="16">
        <v>45</v>
      </c>
      <c r="AA68" s="16">
        <v>72</v>
      </c>
      <c r="AB68" s="16">
        <v>18</v>
      </c>
      <c r="AC68" s="16">
        <v>180</v>
      </c>
      <c r="AD68" s="16"/>
      <c r="AE68" s="16"/>
      <c r="AF68" s="16"/>
      <c r="AG68" s="16"/>
      <c r="AH68" s="16"/>
      <c r="AI68" s="16"/>
      <c r="AJ68" s="16"/>
      <c r="AK68" s="16"/>
      <c r="AL68" s="16" t="s">
        <v>236</v>
      </c>
      <c r="AM68" s="16" t="s">
        <v>172</v>
      </c>
      <c r="AN68" s="16" t="s">
        <v>745</v>
      </c>
      <c r="AO68" s="16">
        <v>-0.7611</v>
      </c>
      <c r="AP68" s="16">
        <v>3.4299999999999997E-2</v>
      </c>
      <c r="AQ68" s="16" t="s">
        <v>746</v>
      </c>
      <c r="AR68" s="16">
        <v>0.25</v>
      </c>
      <c r="AS68" s="16">
        <v>0.1139</v>
      </c>
      <c r="AT68" s="17" t="s">
        <v>747</v>
      </c>
      <c r="AU68" s="16" t="s">
        <v>18</v>
      </c>
      <c r="AV68" s="8" t="s">
        <v>9</v>
      </c>
    </row>
    <row r="69" spans="1:48">
      <c r="A69" s="16" t="s">
        <v>150</v>
      </c>
      <c r="B69" s="17" t="s">
        <v>748</v>
      </c>
      <c r="C69" s="18" t="s">
        <v>737</v>
      </c>
      <c r="D69" s="18">
        <v>2014</v>
      </c>
      <c r="E69" s="18" t="s">
        <v>737</v>
      </c>
      <c r="F69" s="19" t="s">
        <v>738</v>
      </c>
      <c r="G69" s="16" t="s">
        <v>155</v>
      </c>
      <c r="H69" s="16" t="s">
        <v>177</v>
      </c>
      <c r="I69" s="16" t="s">
        <v>205</v>
      </c>
      <c r="J69" s="16" t="s">
        <v>158</v>
      </c>
      <c r="K69" s="16" t="s">
        <v>159</v>
      </c>
      <c r="L69" s="16" t="s">
        <v>160</v>
      </c>
      <c r="M69" s="16" t="s">
        <v>208</v>
      </c>
      <c r="N69" s="16" t="s">
        <v>749</v>
      </c>
      <c r="O69" s="16" t="s">
        <v>163</v>
      </c>
      <c r="P69" s="16" t="s">
        <v>18</v>
      </c>
      <c r="Q69" s="16" t="s">
        <v>164</v>
      </c>
      <c r="R69" s="16" t="s">
        <v>165</v>
      </c>
      <c r="S69" s="16" t="s">
        <v>750</v>
      </c>
      <c r="T69" s="16" t="s">
        <v>741</v>
      </c>
      <c r="U69" s="16" t="s">
        <v>751</v>
      </c>
      <c r="V69" s="16" t="s">
        <v>752</v>
      </c>
      <c r="W69" s="16" t="s">
        <v>753</v>
      </c>
      <c r="X69" s="16" t="s">
        <v>179</v>
      </c>
      <c r="Y69" s="16">
        <v>45</v>
      </c>
      <c r="Z69" s="16">
        <v>45</v>
      </c>
      <c r="AA69" s="16">
        <v>17</v>
      </c>
      <c r="AB69" s="16">
        <v>73</v>
      </c>
      <c r="AC69" s="16">
        <v>180</v>
      </c>
      <c r="AD69" s="16"/>
      <c r="AE69" s="16"/>
      <c r="AF69" s="16"/>
      <c r="AG69" s="16"/>
      <c r="AH69" s="16"/>
      <c r="AI69" s="16"/>
      <c r="AJ69" s="16"/>
      <c r="AK69" s="16"/>
      <c r="AL69" s="16" t="s">
        <v>236</v>
      </c>
      <c r="AM69" s="16" t="s">
        <v>172</v>
      </c>
      <c r="AN69" s="16" t="s">
        <v>745</v>
      </c>
      <c r="AO69" s="16">
        <v>0.8</v>
      </c>
      <c r="AP69" s="16">
        <v>3.5299999999999998E-2</v>
      </c>
      <c r="AQ69" s="16" t="s">
        <v>754</v>
      </c>
      <c r="AR69" s="16">
        <v>4.2941000000000003</v>
      </c>
      <c r="AS69" s="16">
        <v>0.11700000000000001</v>
      </c>
      <c r="AT69" s="17" t="s">
        <v>747</v>
      </c>
      <c r="AU69" s="16" t="s">
        <v>18</v>
      </c>
      <c r="AV69" s="8" t="s">
        <v>9</v>
      </c>
    </row>
    <row r="70" spans="1:48">
      <c r="A70" s="16" t="s">
        <v>150</v>
      </c>
      <c r="B70" s="17" t="s">
        <v>755</v>
      </c>
      <c r="C70" s="18" t="s">
        <v>737</v>
      </c>
      <c r="D70" s="18">
        <v>2014</v>
      </c>
      <c r="E70" s="18" t="s">
        <v>737</v>
      </c>
      <c r="F70" s="19" t="s">
        <v>738</v>
      </c>
      <c r="G70" s="16" t="s">
        <v>155</v>
      </c>
      <c r="H70" s="16" t="s">
        <v>184</v>
      </c>
      <c r="I70" s="16" t="s">
        <v>205</v>
      </c>
      <c r="J70" s="16" t="s">
        <v>158</v>
      </c>
      <c r="K70" s="16" t="s">
        <v>159</v>
      </c>
      <c r="L70" s="16" t="s">
        <v>160</v>
      </c>
      <c r="M70" s="16" t="s">
        <v>208</v>
      </c>
      <c r="N70" s="16" t="s">
        <v>756</v>
      </c>
      <c r="O70" s="16" t="s">
        <v>163</v>
      </c>
      <c r="P70" s="16" t="s">
        <v>18</v>
      </c>
      <c r="Q70" s="16" t="s">
        <v>164</v>
      </c>
      <c r="R70" s="16" t="s">
        <v>165</v>
      </c>
      <c r="S70" s="16" t="s">
        <v>757</v>
      </c>
      <c r="T70" s="16" t="s">
        <v>741</v>
      </c>
      <c r="U70" s="16" t="s">
        <v>758</v>
      </c>
      <c r="V70" s="16" t="s">
        <v>759</v>
      </c>
      <c r="W70" s="16" t="s">
        <v>760</v>
      </c>
      <c r="X70" s="16" t="s">
        <v>170</v>
      </c>
      <c r="Y70" s="16">
        <v>68</v>
      </c>
      <c r="Z70" s="16">
        <v>22</v>
      </c>
      <c r="AA70" s="16">
        <v>68</v>
      </c>
      <c r="AB70" s="16">
        <v>22</v>
      </c>
      <c r="AC70" s="16">
        <v>180</v>
      </c>
      <c r="AD70" s="16"/>
      <c r="AE70" s="16"/>
      <c r="AF70" s="16"/>
      <c r="AG70" s="16"/>
      <c r="AH70" s="16"/>
      <c r="AI70" s="16"/>
      <c r="AJ70" s="16"/>
      <c r="AK70" s="16"/>
      <c r="AL70" s="16" t="s">
        <v>236</v>
      </c>
      <c r="AM70" s="16" t="s">
        <v>172</v>
      </c>
      <c r="AN70" s="16" t="s">
        <v>745</v>
      </c>
      <c r="AO70" s="16">
        <v>0</v>
      </c>
      <c r="AP70" s="16">
        <v>3.6299999999999999E-2</v>
      </c>
      <c r="AQ70" s="16" t="s">
        <v>761</v>
      </c>
      <c r="AR70" s="16">
        <v>1</v>
      </c>
      <c r="AS70" s="16">
        <v>0.1203</v>
      </c>
      <c r="AT70" s="17" t="s">
        <v>747</v>
      </c>
      <c r="AU70" s="16" t="s">
        <v>18</v>
      </c>
      <c r="AV70" s="8" t="s">
        <v>9</v>
      </c>
    </row>
    <row r="71" spans="1:48">
      <c r="A71" s="16" t="s">
        <v>150</v>
      </c>
      <c r="B71" s="17" t="s">
        <v>762</v>
      </c>
      <c r="C71" s="18" t="s">
        <v>737</v>
      </c>
      <c r="D71" s="18">
        <v>2014</v>
      </c>
      <c r="E71" s="18" t="s">
        <v>737</v>
      </c>
      <c r="F71" s="19" t="s">
        <v>738</v>
      </c>
      <c r="G71" s="16" t="s">
        <v>155</v>
      </c>
      <c r="H71" s="16" t="s">
        <v>376</v>
      </c>
      <c r="I71" s="16" t="s">
        <v>205</v>
      </c>
      <c r="J71" s="16" t="s">
        <v>158</v>
      </c>
      <c r="K71" s="16" t="s">
        <v>159</v>
      </c>
      <c r="L71" s="16" t="s">
        <v>160</v>
      </c>
      <c r="M71" s="16" t="s">
        <v>208</v>
      </c>
      <c r="N71" s="16" t="s">
        <v>763</v>
      </c>
      <c r="O71" s="16" t="s">
        <v>163</v>
      </c>
      <c r="P71" s="16" t="s">
        <v>18</v>
      </c>
      <c r="Q71" s="16" t="s">
        <v>164</v>
      </c>
      <c r="R71" s="16" t="s">
        <v>165</v>
      </c>
      <c r="S71" s="16" t="s">
        <v>764</v>
      </c>
      <c r="T71" s="16" t="s">
        <v>741</v>
      </c>
      <c r="U71" s="16" t="s">
        <v>765</v>
      </c>
      <c r="V71" s="16" t="s">
        <v>766</v>
      </c>
      <c r="W71" s="16" t="s">
        <v>767</v>
      </c>
      <c r="X71" s="16" t="s">
        <v>170</v>
      </c>
      <c r="Y71" s="16">
        <v>66</v>
      </c>
      <c r="Z71" s="16">
        <v>24</v>
      </c>
      <c r="AA71" s="16">
        <v>66</v>
      </c>
      <c r="AB71" s="16">
        <v>24</v>
      </c>
      <c r="AC71" s="16">
        <v>180</v>
      </c>
      <c r="AD71" s="16"/>
      <c r="AE71" s="16"/>
      <c r="AF71" s="16"/>
      <c r="AG71" s="16"/>
      <c r="AH71" s="16"/>
      <c r="AI71" s="16"/>
      <c r="AJ71" s="16"/>
      <c r="AK71" s="16"/>
      <c r="AL71" s="16" t="s">
        <v>236</v>
      </c>
      <c r="AM71" s="16" t="s">
        <v>172</v>
      </c>
      <c r="AN71" s="16" t="s">
        <v>745</v>
      </c>
      <c r="AO71" s="16">
        <v>0</v>
      </c>
      <c r="AP71" s="16">
        <v>3.4200000000000001E-2</v>
      </c>
      <c r="AQ71" s="16" t="s">
        <v>768</v>
      </c>
      <c r="AR71" s="16">
        <v>1</v>
      </c>
      <c r="AS71" s="16">
        <v>0.11360000000000001</v>
      </c>
      <c r="AT71" s="17" t="s">
        <v>747</v>
      </c>
      <c r="AU71" s="16" t="s">
        <v>18</v>
      </c>
      <c r="AV71" s="8" t="s">
        <v>9</v>
      </c>
    </row>
    <row r="72" spans="1:48">
      <c r="A72" s="16" t="s">
        <v>150</v>
      </c>
      <c r="B72" s="17" t="s">
        <v>769</v>
      </c>
      <c r="C72" s="18" t="s">
        <v>770</v>
      </c>
      <c r="D72" s="18">
        <v>2018</v>
      </c>
      <c r="E72" s="18" t="s">
        <v>771</v>
      </c>
      <c r="F72" s="19" t="s">
        <v>204</v>
      </c>
      <c r="G72" s="16" t="s">
        <v>155</v>
      </c>
      <c r="H72" s="16" t="s">
        <v>156</v>
      </c>
      <c r="I72" s="16" t="s">
        <v>205</v>
      </c>
      <c r="J72" s="16" t="s">
        <v>158</v>
      </c>
      <c r="K72" s="16" t="s">
        <v>206</v>
      </c>
      <c r="L72" s="16" t="s">
        <v>207</v>
      </c>
      <c r="M72" s="16" t="s">
        <v>208</v>
      </c>
      <c r="N72" s="16" t="s">
        <v>772</v>
      </c>
      <c r="O72" s="16" t="s">
        <v>210</v>
      </c>
      <c r="P72" s="16" t="s">
        <v>9</v>
      </c>
      <c r="Q72" s="16" t="s">
        <v>164</v>
      </c>
      <c r="R72" s="16" t="s">
        <v>274</v>
      </c>
      <c r="S72" s="16" t="s">
        <v>773</v>
      </c>
      <c r="T72" s="16" t="s">
        <v>774</v>
      </c>
      <c r="U72" s="16" t="s">
        <v>775</v>
      </c>
      <c r="V72" s="16" t="s">
        <v>776</v>
      </c>
      <c r="W72" s="16" t="s">
        <v>777</v>
      </c>
      <c r="X72" s="16" t="s">
        <v>179</v>
      </c>
      <c r="Y72" s="16">
        <v>13</v>
      </c>
      <c r="Z72" s="16">
        <v>7</v>
      </c>
      <c r="AA72" s="16">
        <v>17</v>
      </c>
      <c r="AB72" s="16">
        <v>3</v>
      </c>
      <c r="AC72" s="16">
        <v>20</v>
      </c>
      <c r="AD72" s="16"/>
      <c r="AE72" s="16"/>
      <c r="AF72" s="16"/>
      <c r="AG72" s="16"/>
      <c r="AH72" s="16"/>
      <c r="AI72" s="16"/>
      <c r="AJ72" s="16"/>
      <c r="AK72" s="16"/>
      <c r="AL72" s="16" t="s">
        <v>236</v>
      </c>
      <c r="AM72" s="16" t="s">
        <v>172</v>
      </c>
      <c r="AN72" s="16" t="s">
        <v>778</v>
      </c>
      <c r="AO72" s="16">
        <v>-0.59050000000000002</v>
      </c>
      <c r="AP72" s="16">
        <v>0.1714</v>
      </c>
      <c r="AQ72" s="16" t="s">
        <v>779</v>
      </c>
      <c r="AR72" s="16">
        <v>0.32769999999999999</v>
      </c>
      <c r="AS72" s="16">
        <v>0.6119</v>
      </c>
      <c r="AT72" s="17" t="s">
        <v>780</v>
      </c>
      <c r="AU72" s="16" t="s">
        <v>18</v>
      </c>
      <c r="AV72" s="8" t="s">
        <v>9</v>
      </c>
    </row>
    <row r="73" spans="1:48">
      <c r="A73" s="16" t="s">
        <v>150</v>
      </c>
      <c r="B73" s="17" t="s">
        <v>781</v>
      </c>
      <c r="C73" s="18" t="s">
        <v>770</v>
      </c>
      <c r="D73" s="18">
        <v>2018</v>
      </c>
      <c r="E73" s="18" t="s">
        <v>771</v>
      </c>
      <c r="F73" s="19" t="s">
        <v>204</v>
      </c>
      <c r="G73" s="16" t="s">
        <v>155</v>
      </c>
      <c r="H73" s="16" t="s">
        <v>177</v>
      </c>
      <c r="I73" s="16" t="s">
        <v>205</v>
      </c>
      <c r="J73" s="16" t="s">
        <v>158</v>
      </c>
      <c r="K73" s="16" t="s">
        <v>206</v>
      </c>
      <c r="L73" s="16" t="s">
        <v>207</v>
      </c>
      <c r="M73" s="16" t="s">
        <v>208</v>
      </c>
      <c r="N73" s="16" t="s">
        <v>782</v>
      </c>
      <c r="O73" s="16" t="s">
        <v>163</v>
      </c>
      <c r="P73" s="16" t="s">
        <v>9</v>
      </c>
      <c r="Q73" s="16" t="s">
        <v>164</v>
      </c>
      <c r="R73" s="16" t="s">
        <v>274</v>
      </c>
      <c r="S73" s="16" t="s">
        <v>783</v>
      </c>
      <c r="T73" s="16" t="s">
        <v>774</v>
      </c>
      <c r="U73" s="16" t="s">
        <v>784</v>
      </c>
      <c r="V73" s="16" t="s">
        <v>785</v>
      </c>
      <c r="W73" s="16" t="s">
        <v>786</v>
      </c>
      <c r="X73" s="16" t="s">
        <v>179</v>
      </c>
      <c r="Y73" s="16">
        <v>16</v>
      </c>
      <c r="Z73" s="16">
        <v>4</v>
      </c>
      <c r="AA73" s="16">
        <v>13</v>
      </c>
      <c r="AB73" s="16">
        <v>7</v>
      </c>
      <c r="AC73" s="16">
        <v>20</v>
      </c>
      <c r="AD73" s="16"/>
      <c r="AE73" s="16"/>
      <c r="AF73" s="16"/>
      <c r="AG73" s="16"/>
      <c r="AH73" s="16"/>
      <c r="AI73" s="16"/>
      <c r="AJ73" s="16"/>
      <c r="AK73" s="16"/>
      <c r="AL73" s="16" t="s">
        <v>236</v>
      </c>
      <c r="AM73" s="16" t="s">
        <v>172</v>
      </c>
      <c r="AN73" s="16" t="s">
        <v>787</v>
      </c>
      <c r="AO73" s="16">
        <v>0.40610000000000002</v>
      </c>
      <c r="AP73" s="16">
        <v>0.14910000000000001</v>
      </c>
      <c r="AQ73" s="16" t="s">
        <v>788</v>
      </c>
      <c r="AR73" s="16">
        <v>2.1537999999999999</v>
      </c>
      <c r="AS73" s="16">
        <v>0.5323</v>
      </c>
      <c r="AT73" s="17" t="s">
        <v>780</v>
      </c>
      <c r="AU73" s="16" t="s">
        <v>18</v>
      </c>
      <c r="AV73" s="8" t="s">
        <v>9</v>
      </c>
    </row>
    <row r="74" spans="1:48">
      <c r="A74" s="16" t="s">
        <v>150</v>
      </c>
      <c r="B74" s="17" t="s">
        <v>789</v>
      </c>
      <c r="C74" s="27" t="s">
        <v>790</v>
      </c>
      <c r="D74" s="18">
        <v>2025</v>
      </c>
      <c r="E74" s="18" t="s">
        <v>791</v>
      </c>
      <c r="F74" s="19" t="s">
        <v>297</v>
      </c>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6"/>
      <c r="AN74" s="16" t="s">
        <v>792</v>
      </c>
      <c r="AO74" s="17"/>
      <c r="AP74" s="17"/>
      <c r="AQ74" s="17"/>
      <c r="AR74" s="17"/>
      <c r="AS74" s="17"/>
      <c r="AT74" s="17"/>
      <c r="AU74" s="16" t="s">
        <v>18</v>
      </c>
      <c r="AV74" s="8" t="s">
        <v>18</v>
      </c>
    </row>
    <row r="75" spans="1:48">
      <c r="A75" s="16" t="s">
        <v>150</v>
      </c>
      <c r="B75" s="17" t="s">
        <v>793</v>
      </c>
      <c r="C75" s="27" t="s">
        <v>794</v>
      </c>
      <c r="D75" s="18">
        <v>2009</v>
      </c>
      <c r="E75" s="18" t="s">
        <v>795</v>
      </c>
      <c r="F75" s="19" t="s">
        <v>204</v>
      </c>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6"/>
      <c r="AN75" s="16" t="s">
        <v>796</v>
      </c>
      <c r="AO75" s="17"/>
      <c r="AP75" s="17"/>
      <c r="AQ75" s="17"/>
      <c r="AR75" s="17"/>
      <c r="AS75" s="17"/>
      <c r="AT75" s="17"/>
      <c r="AU75" s="16" t="s">
        <v>18</v>
      </c>
      <c r="AV75" s="8" t="s">
        <v>18</v>
      </c>
    </row>
    <row r="76" spans="1:48">
      <c r="A76" s="16" t="s">
        <v>150</v>
      </c>
      <c r="B76" s="17" t="s">
        <v>797</v>
      </c>
      <c r="C76" s="18" t="s">
        <v>798</v>
      </c>
      <c r="D76" s="18">
        <v>2012</v>
      </c>
      <c r="E76" s="18" t="s">
        <v>799</v>
      </c>
      <c r="F76" s="19" t="s">
        <v>204</v>
      </c>
      <c r="G76" s="16" t="s">
        <v>155</v>
      </c>
      <c r="H76" s="16" t="s">
        <v>156</v>
      </c>
      <c r="I76" s="16" t="s">
        <v>205</v>
      </c>
      <c r="J76" s="16" t="s">
        <v>158</v>
      </c>
      <c r="K76" s="16" t="s">
        <v>206</v>
      </c>
      <c r="L76" s="16" t="s">
        <v>207</v>
      </c>
      <c r="M76" s="16" t="s">
        <v>161</v>
      </c>
      <c r="N76" s="16" t="s">
        <v>800</v>
      </c>
      <c r="O76" s="16" t="s">
        <v>210</v>
      </c>
      <c r="P76" s="16" t="s">
        <v>9</v>
      </c>
      <c r="Q76" s="16" t="s">
        <v>164</v>
      </c>
      <c r="R76" s="16" t="s">
        <v>193</v>
      </c>
      <c r="S76" s="16" t="s">
        <v>801</v>
      </c>
      <c r="T76" s="16" t="s">
        <v>802</v>
      </c>
      <c r="U76" s="17"/>
      <c r="V76" s="16" t="s">
        <v>803</v>
      </c>
      <c r="W76" s="16" t="s">
        <v>804</v>
      </c>
      <c r="X76" s="16" t="s">
        <v>170</v>
      </c>
      <c r="Y76" s="16">
        <v>29</v>
      </c>
      <c r="Z76" s="16">
        <v>30</v>
      </c>
      <c r="AA76" s="16" t="s">
        <v>196</v>
      </c>
      <c r="AB76" s="16" t="s">
        <v>196</v>
      </c>
      <c r="AC76" s="16">
        <v>59</v>
      </c>
      <c r="AD76" s="16">
        <v>16</v>
      </c>
      <c r="AE76" s="16">
        <v>10.95</v>
      </c>
      <c r="AF76" s="16">
        <v>2</v>
      </c>
      <c r="AG76" s="16">
        <v>30</v>
      </c>
      <c r="AH76" s="16">
        <v>26</v>
      </c>
      <c r="AI76" s="16">
        <v>32.31</v>
      </c>
      <c r="AJ76" s="16">
        <v>6</v>
      </c>
      <c r="AK76" s="16">
        <v>29</v>
      </c>
      <c r="AL76" s="16" t="s">
        <v>236</v>
      </c>
      <c r="AM76" s="16" t="s">
        <v>216</v>
      </c>
      <c r="AN76" s="16" t="s">
        <v>805</v>
      </c>
      <c r="AO76" s="16">
        <v>0.41189999999999999</v>
      </c>
      <c r="AP76" s="16">
        <v>6.93E-2</v>
      </c>
      <c r="AQ76" s="16" t="s">
        <v>806</v>
      </c>
      <c r="AR76" s="17">
        <v>2.1109</v>
      </c>
      <c r="AS76" s="17">
        <v>0.22800000000000001</v>
      </c>
      <c r="AT76" s="17" t="s">
        <v>807</v>
      </c>
      <c r="AU76" s="16" t="s">
        <v>18</v>
      </c>
      <c r="AV76" s="8" t="s">
        <v>9</v>
      </c>
    </row>
    <row r="77" spans="1:48">
      <c r="A77" s="16" t="s">
        <v>150</v>
      </c>
      <c r="B77" s="17" t="s">
        <v>808</v>
      </c>
      <c r="C77" s="18" t="s">
        <v>798</v>
      </c>
      <c r="D77" s="18">
        <v>2012</v>
      </c>
      <c r="E77" s="18" t="s">
        <v>799</v>
      </c>
      <c r="F77" s="19" t="s">
        <v>204</v>
      </c>
      <c r="G77" s="16" t="s">
        <v>155</v>
      </c>
      <c r="H77" s="16" t="s">
        <v>177</v>
      </c>
      <c r="I77" s="16" t="s">
        <v>205</v>
      </c>
      <c r="J77" s="16" t="s">
        <v>158</v>
      </c>
      <c r="K77" s="16" t="s">
        <v>206</v>
      </c>
      <c r="L77" s="16" t="s">
        <v>207</v>
      </c>
      <c r="M77" s="16" t="s">
        <v>161</v>
      </c>
      <c r="N77" s="16" t="s">
        <v>800</v>
      </c>
      <c r="O77" s="16" t="s">
        <v>210</v>
      </c>
      <c r="P77" s="16" t="s">
        <v>9</v>
      </c>
      <c r="Q77" s="16" t="s">
        <v>164</v>
      </c>
      <c r="R77" s="16" t="s">
        <v>193</v>
      </c>
      <c r="S77" s="16" t="s">
        <v>809</v>
      </c>
      <c r="T77" s="16" t="s">
        <v>802</v>
      </c>
      <c r="U77" s="17"/>
      <c r="V77" s="16" t="s">
        <v>810</v>
      </c>
      <c r="W77" s="16" t="s">
        <v>811</v>
      </c>
      <c r="X77" s="16" t="s">
        <v>170</v>
      </c>
      <c r="Y77" s="16">
        <v>29</v>
      </c>
      <c r="Z77" s="16">
        <v>30</v>
      </c>
      <c r="AA77" s="16" t="s">
        <v>196</v>
      </c>
      <c r="AB77" s="16" t="s">
        <v>196</v>
      </c>
      <c r="AC77" s="16">
        <v>59</v>
      </c>
      <c r="AD77" s="16">
        <v>8</v>
      </c>
      <c r="AE77" s="16">
        <v>10.95</v>
      </c>
      <c r="AF77" s="16">
        <v>2</v>
      </c>
      <c r="AG77" s="16">
        <v>30</v>
      </c>
      <c r="AH77" s="16">
        <v>10</v>
      </c>
      <c r="AI77" s="16">
        <v>10.77</v>
      </c>
      <c r="AJ77" s="16">
        <v>2</v>
      </c>
      <c r="AK77" s="16">
        <v>29</v>
      </c>
      <c r="AL77" s="16" t="s">
        <v>236</v>
      </c>
      <c r="AM77" s="16" t="s">
        <v>216</v>
      </c>
      <c r="AN77" s="16" t="s">
        <v>805</v>
      </c>
      <c r="AO77" s="16">
        <v>0.1817</v>
      </c>
      <c r="AP77" s="16">
        <v>6.8099999999999994E-2</v>
      </c>
      <c r="AQ77" s="16" t="s">
        <v>806</v>
      </c>
      <c r="AR77" s="17">
        <v>1.3904000000000001</v>
      </c>
      <c r="AS77" s="17">
        <v>0.224</v>
      </c>
      <c r="AT77" s="17" t="s">
        <v>812</v>
      </c>
      <c r="AU77" s="16" t="s">
        <v>18</v>
      </c>
      <c r="AV77" s="8" t="s">
        <v>9</v>
      </c>
    </row>
  </sheetData>
  <conditionalFormatting sqref="AU2:AU77">
    <cfRule type="containsText" dxfId="55" priority="4" operator="containsText" text="Yes">
      <formula>NOT(ISERROR(SEARCH(("Yes"),(AU2))))</formula>
    </cfRule>
    <cfRule type="containsText" dxfId="54" priority="5" operator="containsText" text="No">
      <formula>NOT(ISERROR(SEARCH(("No"),(AU2))))</formula>
    </cfRule>
    <cfRule type="containsBlanks" dxfId="53" priority="6">
      <formula>LEN(TRIM(AU2))=0</formula>
    </cfRule>
  </conditionalFormatting>
  <conditionalFormatting sqref="AV2:AV77">
    <cfRule type="containsText" dxfId="52" priority="1" operator="containsText" text="Yes">
      <formula>NOT(ISERROR(SEARCH(("Yes"),(AV2))))</formula>
    </cfRule>
    <cfRule type="containsText" dxfId="51" priority="2" operator="containsText" text="No">
      <formula>NOT(ISERROR(SEARCH(("No"),(AV2))))</formula>
    </cfRule>
    <cfRule type="containsBlanks" dxfId="50" priority="3">
      <formula>LEN(TRIM(AV2))=0</formula>
    </cfRule>
  </conditionalFormatting>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BBA0-84B7-3348-8232-4DE35AE9207D}">
  <dimension ref="A1:AV3"/>
  <sheetViews>
    <sheetView topLeftCell="W1" workbookViewId="0">
      <selection activeCell="AP8" sqref="AP8"/>
    </sheetView>
  </sheetViews>
  <sheetFormatPr baseColWidth="10" defaultRowHeight="16"/>
  <sheetData>
    <row r="1" spans="1:48" ht="68">
      <c r="A1" s="2" t="s">
        <v>6</v>
      </c>
      <c r="B1" s="2" t="s">
        <v>11</v>
      </c>
      <c r="C1" s="2" t="s">
        <v>15</v>
      </c>
      <c r="D1" s="2" t="s">
        <v>19</v>
      </c>
      <c r="E1" s="2" t="s">
        <v>22</v>
      </c>
      <c r="F1" s="2" t="s">
        <v>25</v>
      </c>
      <c r="G1" s="2" t="s">
        <v>28</v>
      </c>
      <c r="H1" s="2" t="s">
        <v>31</v>
      </c>
      <c r="I1" s="2" t="s">
        <v>34</v>
      </c>
      <c r="J1" s="2" t="s">
        <v>37</v>
      </c>
      <c r="K1" s="9" t="s">
        <v>40</v>
      </c>
      <c r="L1" t="s">
        <v>43</v>
      </c>
      <c r="M1" s="2" t="s">
        <v>46</v>
      </c>
      <c r="N1" s="2" t="s">
        <v>49</v>
      </c>
      <c r="O1" s="2" t="s">
        <v>52</v>
      </c>
      <c r="P1" s="2" t="s">
        <v>55</v>
      </c>
      <c r="Q1" s="2" t="s">
        <v>58</v>
      </c>
      <c r="R1" s="2" t="s">
        <v>64</v>
      </c>
      <c r="S1" s="2" t="s">
        <v>61</v>
      </c>
      <c r="T1" s="2" t="s">
        <v>67</v>
      </c>
      <c r="U1" s="2" t="s">
        <v>70</v>
      </c>
      <c r="V1" s="2" t="s">
        <v>73</v>
      </c>
      <c r="W1" s="2" t="s">
        <v>76</v>
      </c>
      <c r="X1" t="s">
        <v>96</v>
      </c>
      <c r="Y1" s="2" t="s">
        <v>79</v>
      </c>
      <c r="Z1" s="2" t="s">
        <v>81</v>
      </c>
      <c r="AA1" s="2" t="s">
        <v>83</v>
      </c>
      <c r="AB1" s="2" t="s">
        <v>85</v>
      </c>
      <c r="AC1" s="2" t="s">
        <v>87</v>
      </c>
      <c r="AD1" t="s">
        <v>99</v>
      </c>
      <c r="AE1" t="s">
        <v>102</v>
      </c>
      <c r="AF1" t="s">
        <v>105</v>
      </c>
      <c r="AG1" t="s">
        <v>108</v>
      </c>
      <c r="AH1" t="s">
        <v>111</v>
      </c>
      <c r="AI1" t="s">
        <v>114</v>
      </c>
      <c r="AJ1" t="s">
        <v>117</v>
      </c>
      <c r="AK1" t="s">
        <v>120</v>
      </c>
      <c r="AL1" s="2" t="s">
        <v>90</v>
      </c>
      <c r="AM1" t="s">
        <v>123</v>
      </c>
      <c r="AN1" s="2" t="s">
        <v>93</v>
      </c>
      <c r="AO1" t="s">
        <v>126</v>
      </c>
      <c r="AP1" t="s">
        <v>129</v>
      </c>
      <c r="AQ1" t="s">
        <v>132</v>
      </c>
      <c r="AR1" t="s">
        <v>135</v>
      </c>
      <c r="AS1" t="s">
        <v>138</v>
      </c>
      <c r="AT1" t="s">
        <v>141</v>
      </c>
      <c r="AU1" t="s">
        <v>144</v>
      </c>
      <c r="AV1" t="s">
        <v>147</v>
      </c>
    </row>
    <row r="2" spans="1:48">
      <c r="A2" s="10" t="s">
        <v>813</v>
      </c>
      <c r="B2" s="11" t="s">
        <v>189</v>
      </c>
      <c r="C2" s="10" t="s">
        <v>190</v>
      </c>
      <c r="D2" s="10">
        <v>2021</v>
      </c>
      <c r="E2" s="10" t="s">
        <v>191</v>
      </c>
      <c r="F2" s="10" t="s">
        <v>154</v>
      </c>
      <c r="G2" s="10" t="s">
        <v>155</v>
      </c>
      <c r="H2" s="10" t="s">
        <v>156</v>
      </c>
      <c r="I2" s="10" t="s">
        <v>157</v>
      </c>
      <c r="J2" s="10" t="s">
        <v>158</v>
      </c>
      <c r="K2" s="10" t="s">
        <v>159</v>
      </c>
      <c r="L2" s="10"/>
      <c r="M2" s="10" t="s">
        <v>161</v>
      </c>
      <c r="O2" s="10" t="s">
        <v>163</v>
      </c>
      <c r="P2" s="10" t="s">
        <v>814</v>
      </c>
      <c r="Q2" s="10" t="s">
        <v>164</v>
      </c>
      <c r="R2" s="10" t="s">
        <v>193</v>
      </c>
      <c r="S2" s="10" t="s">
        <v>815</v>
      </c>
      <c r="T2" s="10" t="s">
        <v>816</v>
      </c>
      <c r="U2" s="10" t="s">
        <v>196</v>
      </c>
      <c r="V2" s="10" t="s">
        <v>196</v>
      </c>
      <c r="Y2" s="10">
        <v>107</v>
      </c>
      <c r="Z2" s="10">
        <v>110</v>
      </c>
      <c r="AA2" s="10">
        <v>75</v>
      </c>
      <c r="AB2" s="10">
        <v>76</v>
      </c>
      <c r="AC2" s="10">
        <v>368</v>
      </c>
      <c r="AD2" s="10"/>
      <c r="AE2" s="10"/>
      <c r="AF2" s="10"/>
      <c r="AG2" s="10"/>
      <c r="AH2" s="10"/>
      <c r="AI2" s="10"/>
      <c r="AJ2" s="10"/>
      <c r="AK2" s="10"/>
      <c r="AL2" s="10" t="s">
        <v>171</v>
      </c>
      <c r="AM2" s="10"/>
      <c r="AN2" s="10" t="s">
        <v>817</v>
      </c>
      <c r="AO2" s="10"/>
      <c r="AP2" s="10"/>
      <c r="AQ2" s="10"/>
      <c r="AR2" s="10"/>
    </row>
    <row r="3" spans="1:48">
      <c r="A3" s="10" t="s">
        <v>813</v>
      </c>
      <c r="B3" s="11" t="s">
        <v>240</v>
      </c>
      <c r="C3" s="10" t="s">
        <v>226</v>
      </c>
      <c r="D3" s="10">
        <v>2023</v>
      </c>
      <c r="E3" s="10" t="s">
        <v>227</v>
      </c>
      <c r="F3" s="10" t="s">
        <v>228</v>
      </c>
      <c r="G3" s="10" t="s">
        <v>734</v>
      </c>
      <c r="H3" s="10" t="s">
        <v>177</v>
      </c>
      <c r="I3" s="10" t="s">
        <v>205</v>
      </c>
      <c r="J3" s="10" t="s">
        <v>818</v>
      </c>
      <c r="K3" s="10" t="s">
        <v>159</v>
      </c>
      <c r="L3" s="10"/>
      <c r="M3" s="10" t="s">
        <v>819</v>
      </c>
      <c r="N3" s="10" t="s">
        <v>820</v>
      </c>
      <c r="O3" s="10" t="s">
        <v>163</v>
      </c>
      <c r="P3" s="10" t="s">
        <v>814</v>
      </c>
      <c r="Q3" s="10" t="s">
        <v>196</v>
      </c>
      <c r="R3" s="10" t="s">
        <v>211</v>
      </c>
      <c r="S3" s="10" t="s">
        <v>821</v>
      </c>
      <c r="T3" s="10" t="s">
        <v>822</v>
      </c>
      <c r="U3" s="10" t="s">
        <v>196</v>
      </c>
      <c r="V3" s="10" t="s">
        <v>196</v>
      </c>
      <c r="AL3" s="10" t="s">
        <v>236</v>
      </c>
      <c r="AM3" s="10"/>
      <c r="AN3" s="10" t="s">
        <v>823</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EduardoExtraction</vt:lpstr>
      <vt:lpstr>LosiaExtraction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Santos</dc:creator>
  <cp:lastModifiedBy>Eduardo Santos</cp:lastModifiedBy>
  <dcterms:created xsi:type="dcterms:W3CDTF">2026-05-27T16:49:27Z</dcterms:created>
  <dcterms:modified xsi:type="dcterms:W3CDTF">2026-05-27T17:05:12Z</dcterms:modified>
</cp:coreProperties>
</file>